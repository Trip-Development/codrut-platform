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179cadc5514fb0" /></Relationships>
</file>

<file path=xl/workbook.xml><?xml version="1.0" encoding="utf-8"?>
<x:workbook xmlns:x="http://schemas.openxmlformats.org/spreadsheetml/2006/main">
  <x:sheets>
    <x:sheet xmlns:r="http://schemas.openxmlformats.org/officeDocument/2006/relationships" name="Chestionar" sheetId="1" r:id="R436caf18d84747bc"/>
    <x:sheet xmlns:r="http://schemas.openxmlformats.org/officeDocument/2006/relationships" name="Rezultate" sheetId="2" r:id="R50087c3222734e73"/>
    <x:sheet xmlns:r="http://schemas.openxmlformats.org/officeDocument/2006/relationships" name="Agregare 360" sheetId="3" r:id="Re6442e1890df410f"/>
    <x:sheet xmlns:r="http://schemas.openxmlformats.org/officeDocument/2006/relationships" name="Metodologie" sheetId="4" r:id="R08f72257957041a7"/>
  </x:sheets>
</x:workbook>
</file>

<file path=xl/sharedStrings.xml><?xml version="1.0" encoding="utf-8"?>
<x:sst xmlns:x="http://schemas.openxmlformats.org/spreadsheetml/2006/main">
  <x:si>
    <x:t xml:space="preserve">Atribut</x:t>
  </x:si>
  <x:si>
    <x:t xml:space="preserve">Abilitate evaluată</x:t>
  </x:si>
  <x:si>
    <x:t xml:space="preserve">Descriere</x:t>
  </x:si>
  <x:si>
    <x:t xml:space="preserve">Comportament Specific
(Ce măsurăm)</x:t>
  </x:si>
  <x:si>
    <x:t xml:space="preserve">#</x:t>
  </x:si>
  <x:si>
    <x:t xml:space="preserve">1; Niciodată</x:t>
  </x:si>
  <x:si>
    <x:t xml:space="preserve">2; Rar</x:t>
  </x:si>
  <x:si>
    <x:t xml:space="preserve">3; Deseori</x:t>
  </x:si>
  <x:si>
    <x:t xml:space="preserve">4; Aproape întotdeauna</x:t>
  </x:si>
  <x:si>
    <x:t xml:space="preserve">N/A; Nu am putut observa</x:t>
  </x:si>
  <x:si>
    <x:t xml:space="preserve">Răspuns
(1, 2, 3, 4 sau N/A)</x:t>
  </x:si>
  <x:si>
    <x:t xml:space="preserve">Inspiră
(Inspiring)</x:t>
  </x:si>
  <x:si>
    <x:t xml:space="preserve">Dezvoltă oamenii</x:t>
  </x:si>
  <x:si>
    <x:t xml:space="preserve">Ne asigurăm de dezvoltarea continuă a noastră, a colegilor și a echipelor. Facem asta printr-un angajament personal față de dezvoltare, prin feedback continuu, onest și constructiv. Lăudăm și încurajăm progresul și reușitele.</x:t>
  </x:si>
  <x:si>
    <x:t xml:space="preserve">Oferă feedback constructiv</x:t>
  </x:si>
  <x:si>
    <x:t xml:space="preserve">Nu oferă feedback sau îl evită complet.</x:t>
  </x:si>
  <x:si>
    <x:t xml:space="preserve">Oferă feedback rar, doar când i se cere.</x:t>
  </x:si>
  <x:si>
    <x:t xml:space="preserve">Oferă feedback destul de des, dar vag, fără exemple concrete.</x:t>
  </x:si>
  <x:si>
    <x:t xml:space="preserve">Oferă feedback regulat, cu exemple concrete și pe un ton constructiv.</x:t>
  </x:si>
  <x:si>
    <x:t xml:space="preserve">Nu am avut ocazia să observ acest comportament.</x:t>
  </x:si>
  <x:si>
    <x:t xml:space="preserve">Sprijină planurile de dezvoltare</x:t>
  </x:si>
  <x:si>
    <x:t xml:space="preserve">A făcut una sau două sesiuni de acompaniere în care a ghidat un coleg să ia decizii sau să se dezvolte.</x:t>
  </x:si>
  <x:si>
    <x:t xml:space="preserve">Are conversații despre dezvoltare și propune resurse sau oportunități concrete care îi ajută pe oameni să crească.</x:t>
  </x:si>
  <x:si>
    <x:t xml:space="preserve">Face împreună cu oamenii planuri de dezvoltare personalizate, alocă timp pentru mentoring și verifică periodic progresul.</x:t>
  </x:si>
  <x:si>
    <x:t xml:space="preserve">Se implică în propria dezvoltare continuă</x:t>
  </x:si>
  <x:si>
    <x:t xml:space="preserve">Nu caută să învețe lucruri noi.</x:t>
  </x:si>
  <x:si>
    <x:t xml:space="preserve">Participă la training-urile obligatorii, dar nu aplică ce învață.</x:t>
  </x:si>
  <x:si>
    <x:t xml:space="preserve">Caută activ feedback și ocazii de învățare, aplică ce învață iar schimbările se văd.</x:t>
  </x:si>
  <x:si>
    <x:t xml:space="preserve">Conduce prin puterea exemplului</x:t>
  </x:si>
  <x:si>
    <x:t xml:space="preserve">Oferim constant un exemplu de autenticitate și sinceritate. Ne aliniem faptele cu vorbele.</x:t>
  </x:si>
  <x:si>
    <x:t xml:space="preserve">Acționează conform valorilor declarate</x:t>
  </x:si>
  <x:si>
    <x:t xml:space="preserve">Spune una și face alta.</x:t>
  </x:si>
  <x:si>
    <x:t xml:space="preserve">Acționează conform valorilor doar când este observat sau în prezența anumitor oameni.</x:t>
  </x:si>
  <x:si>
    <x:t xml:space="preserve">De cele mai multe ori, în situații obișnuite, faptele se potrivesc cu vorbele, cu unele excepții.</x:t>
  </x:si>
  <x:si>
    <x:t xml:space="preserve">Vorbele și faptele se potrivesc constant, inclusiv în situații excepționale; există exemple concrete care arată asta.</x:t>
  </x:si>
  <x:si>
    <x:t xml:space="preserve">Respectă angajamentele asumate față de echipă</x:t>
  </x:si>
  <x:si>
    <x:t xml:space="preserve">Ratează frecvent termene sau promisiuni față de echipă, fără să anunțe.</x:t>
  </x:si>
  <x:si>
    <x:t xml:space="preserve">Își respectă angajamentele doar când i se reamintește sau anunță târziu că nu a reușit.</x:t>
  </x:si>
  <x:si>
    <x:t xml:space="preserve">Își respectă angajamentele în general, dar excepțiile le comunică târziu.</x:t>
  </x:si>
  <x:si>
    <x:t xml:space="preserve">Își respectă angajamentele, iar dacă ceva se schimbă, anunță din timp.</x:t>
  </x:si>
  <x:si>
    <x:t xml:space="preserve">Tratează toți membrii echipei cu respect și echitate</x:t>
  </x:si>
  <x:si>
    <x:t xml:space="preserve">Se poartă mereu vizibil diferit cu oamenii, în funcție de poziția lor în companie sau de preferințele sale.</x:t>
  </x:si>
  <x:si>
    <x:t xml:space="preserve">Tratează oamenii echitabil în general, cu excepții rare.</x:t>
  </x:si>
  <x:si>
    <x:t xml:space="preserve">Tratează toți oamenii echitabil și cu respect, indiferent de nivel sau context.</x:t>
  </x:si>
  <x:si>
    <x:t xml:space="preserve">Creează un mediu care stimulează implicarea</x:t>
  </x:si>
  <x:si>
    <x:t xml:space="preserve">Construim împreună un mediu care stimulează implicarea, încurajează asumarea de riscuri și ne eliberează energiile.</x:t>
  </x:si>
  <x:si>
    <x:t xml:space="preserve">Creează spațiu psihologic sigur pentru exprimare</x:t>
  </x:si>
  <x:si>
    <x:t xml:space="preserve">Critică, ignoră sau ridiculizează opiniile diferite de ale sale.</x:t>
  </x:si>
  <x:si>
    <x:t xml:space="preserve">Nu descurajează exprimarea, dar nici nu o încurajează.</x:t>
  </x:si>
  <x:si>
    <x:t xml:space="preserve">Invită oamenii să-și spună părerea, dar mai ales în cadru formal.</x:t>
  </x:si>
  <x:si>
    <x:t xml:space="preserve">Încurajează constant oamenii să vorbească deschis și primește bine opiniile contrare.</x:t>
  </x:si>
  <x:si>
    <x:t xml:space="preserve">Stimulează inițiativa și încurajează eroarea ca pe oportunitate de învățare</x:t>
  </x:si>
  <x:si>
    <x:t xml:space="preserve">Declară că își dorește inițiativă și că greșelile sunt prilej de învățare, dar rămâne la nivel de discurs: în practică reacțiile lui contrazic mesajul, iar oamenii simt decalajul dintre vorbe și comportament.</x:t>
  </x:si>
  <x:si>
    <x:t xml:space="preserve">Le cere oamenilor să vină și cu o propunere de soluție atunci când ridică o problemă, dar nu explorează împreună cu ei cauzele și contextul și nu transformă greșeala într-un moment de învățare.</x:t>
  </x:si>
  <x:si>
    <x:t xml:space="preserve">Explorează împreună cu echipa cauzele și contextul unei probleme, fără să critice; încurajează asumarea inițiativei și tratează eroarea ca pe o ocazie de învățare, căutând soluțiile împreună cu oamenii.</x:t>
  </x:si>
  <x:si>
    <x:t xml:space="preserve">Recunoaște contribuția individuală la succesul echipei</x:t>
  </x:si>
  <x:si>
    <x:t xml:space="preserve">Laudă deseori oamenii, dar la modul general („bravo tuturor”), nu pe fiecare pentru ce a făcut.</x:t>
  </x:si>
  <x:si>
    <x:t xml:space="preserve">Recunoaște regulat și concret contribuția fiecăruia la rezultatul echipei.</x:t>
  </x:si>
  <x:si>
    <x:t xml:space="preserve">Construiește încredere
(Create Trust)</x:t>
  </x:si>
  <x:si>
    <x:t xml:space="preserve">Promotor al colaborării</x:t>
  </x:si>
  <x:si>
    <x:t xml:space="preserve">Construim încredere prin transparență și prin înțelegerea clară a contextului și motivațiilor celuilalt. Colaborăm activ cu colegii, clienții, furnizorii și partenerii pentru rezultate durabile. Interesul companiei trece înaintea celui individual și al propriei echipe.</x:t>
  </x:si>
  <x:si>
    <x:t xml:space="preserve">Verifică înțelegerea comună după discuții</x:t>
  </x:si>
  <x:si>
    <x:t xml:space="preserve">Pleacă din discuții fără să verifice dacă toți au înțeles la fel.</x:t>
  </x:si>
  <x:si>
    <x:t xml:space="preserve">Verifică înțelegerea doar când apar deja probleme.</x:t>
  </x:si>
  <x:si>
    <x:t xml:space="preserve">Verifică deseori punctele cheie, dar nu constant și nu în profunzime.</x:t>
  </x:si>
  <x:si>
    <x:t xml:space="preserve">Se asigură de fiecare dată că toți au înțeles la fel punctele importante și știu ce au de făcut.</x:t>
  </x:si>
  <x:si>
    <x:t xml:space="preserve">Împărtășește context și motivații proprii</x:t>
  </x:si>
  <x:si>
    <x:t xml:space="preserve">Nu explică niciodată motivele din spatele deciziilor sau priorităților sale.</x:t>
  </x:si>
  <x:si>
    <x:t xml:space="preserve">Oferă context doar când este întrebat direct.</x:t>
  </x:si>
  <x:si>
    <x:t xml:space="preserve">Explică deseori raționamentul deciziilor, mai ales la cele importante.</x:t>
  </x:si>
  <x:si>
    <x:t xml:space="preserve">Explică mai mereu din proprie inițiativă contextul și motivele deciziilor sale.</x:t>
  </x:si>
  <x:si>
    <x:t xml:space="preserve">Prioritizează interesul comun față de cel personal sau al echipei</x:t>
  </x:si>
  <x:si>
    <x:t xml:space="preserve">Ia decizii doar în beneficiul propriu sau al echipei sale.</x:t>
  </x:si>
  <x:si>
    <x:t xml:space="preserve">Ține cont de interesul companiei doar când există presiune din afară.</x:t>
  </x:si>
  <x:si>
    <x:t xml:space="preserve">Pune deseori interesul companiei pe primul loc, dar nu și în situațiile dificile.</x:t>
  </x:si>
  <x:si>
    <x:t xml:space="preserve">Alege constant soluțiile bune pentru companie, chiar dacă sunt mai grele pentru echipa lui.</x:t>
  </x:si>
  <x:si>
    <x:t xml:space="preserve">Ancorat în realitate</x:t>
  </x:si>
  <x:si>
    <x:t xml:space="preserve">Construim încredere ascultând activ, împărtășind informații și lucrând împreună pe teren. Recunoaștem faptele cu onestitate și modestie.</x:t>
  </x:si>
  <x:si>
    <x:t xml:space="preserve">Ascultă activ înainte de a răspunde sau decide</x:t>
  </x:si>
  <x:si>
    <x:t xml:space="preserve">Întrerupe frecvent sau își pregătește răspunsul în timp ce celălalt vorbește.</x:t>
  </x:si>
  <x:si>
    <x:t xml:space="preserve">Reformulează deseori ce a auzit, ca să verifice că a înțeles.</x:t>
  </x:si>
  <x:si>
    <x:t xml:space="preserve">Ascultă fără să întrerupă, pune întrebări de clarificare și poate reda corect punctul de vedere al celuilalt.</x:t>
  </x:si>
  <x:si>
    <x:t xml:space="preserve">Împărtășește informații relevante proactiv</x:t>
  </x:si>
  <x:si>
    <x:t xml:space="preserve">Ține informațiile pentru el, intenționat sau din neglijență.</x:t>
  </x:si>
  <x:si>
    <x:t xml:space="preserve">Dă informații doar când este întrebat direct.</x:t>
  </x:si>
  <x:si>
    <x:t xml:space="preserve">Transmite deseori informațiile utile, dar nu are un obicei constant.</x:t>
  </x:si>
  <x:si>
    <x:t xml:space="preserve">Transmite din timp informațiile relevante, astfel încât nimeni să nu fie luat prin surprindere.</x:t>
  </x:si>
  <x:si>
    <x:t xml:space="preserve">Recunoaște faptele neplăcute cu onestitate</x:t>
  </x:si>
  <x:si>
    <x:t xml:space="preserve">Evită sau minimizează problemele din perimetrul său ca să păstreze aparențele până când nu mai pot fi evitate/ascunse.</x:t>
  </x:si>
  <x:si>
    <x:t xml:space="preserve">Numește problemele direct și la timp, fără să dramatizeze.</x:t>
  </x:si>
  <x:si>
    <x:t xml:space="preserve">Aduce claritate</x:t>
  </x:si>
  <x:si>
    <x:t xml:space="preserve">Ne ghidăm după scopul, valorile și strategia noastră, care ne ajută să ne înțelegem și să ne aliniem echipele și organizația. Acționăm cu ușurință într-un mediu complex și incert.</x:t>
  </x:si>
  <x:si>
    <x:t xml:space="preserve">Comunică strategia și direcția cu claritate</x:t>
  </x:si>
  <x:si>
    <x:t xml:space="preserve">Nu vorbește cu echipa despre strategie sau direcție.</x:t>
  </x:si>
  <x:si>
    <x:t xml:space="preserve">Transmite informații despre direcție doar când îi sunt solicitate.</x:t>
  </x:si>
  <x:si>
    <x:t xml:space="preserve">Explică deseori direcția, dar mesajul nu e mereu coerent.</x:t>
  </x:si>
  <x:si>
    <x:t xml:space="preserve">Comunică des și clar direcția și o leagă de munca de zi cu zi a echipei.</x:t>
  </x:si>
  <x:si>
    <x:t xml:space="preserve">Oferă claritate în situații de ambiguitate</x:t>
  </x:si>
  <x:si>
    <x:t xml:space="preserve">Oferă anumite informații care au stat în spatele deciziilor însă doar când i-au fost solicitate.</x:t>
  </x:si>
  <x:si>
    <x:t xml:space="preserve">Oferă deseori informații care au stat în spatele deciziilor.</x:t>
  </x:si>
  <x:si>
    <x:t xml:space="preserve">Acționează cu claritate în medii complexe și incerte</x:t>
  </x:si>
  <x:si>
    <x:t xml:space="preserve">În situații complexe se blochează sau intră vizibil în panică.</x:t>
  </x:si>
  <x:si>
    <x:t xml:space="preserve">Acționează în incertitudine doar când nu are altă opțiune. Sau așteaptă să i se spună ce să facă. </x:t>
  </x:si>
  <x:si>
    <x:t xml:space="preserve">Se descurcă deseori în situații complexe, fără disconfort major.</x:t>
  </x:si>
  <x:si>
    <x:t xml:space="preserve">Acționează calm și structurat în situații complexe și incerte.</x:t>
  </x:si>
  <x:si>
    <x:t xml:space="preserve">Conștientizare
(Awareness)</x:t>
  </x:si>
  <x:si>
    <x:t xml:space="preserve">Modestie</x:t>
  </x:si>
  <x:si>
    <x:t xml:space="preserve">O înțelegere onestă și vie a propriei persoane ne permite să ne dezvoltăm abilitățile și comportamentele. Cerem regulat feedback cu scopul de a ne îmbunătăți. Putem avea îndoieli, dar apoi decidem și acționăm fără ezitare.</x:t>
  </x:si>
  <x:si>
    <x:t xml:space="preserve">Solicită feedback despre propriul comportament</x:t>
  </x:si>
  <x:si>
    <x:t xml:space="preserve">Nu cere niciodată feedback și îl respinge când îl primește.</x:t>
  </x:si>
  <x:si>
    <x:t xml:space="preserve">Acceptă feedback dacă i se oferă, dar nu îl cere.</x:t>
  </x:si>
  <x:si>
    <x:t xml:space="preserve">Cere feedback, dar fără întrebări concrete și fără să schimbe ceva în urma lui.</x:t>
  </x:si>
  <x:si>
    <x:t xml:space="preserve">Cere regulat feedback de la colegi și superiori, cu întrebări concrete, și schimbă ceva în urma lui.</x:t>
  </x:si>
  <x:si>
    <x:t xml:space="preserve">Știe când să ceară ajutor sau să admită că nu știe</x:t>
  </x:si>
  <x:si>
    <x:t xml:space="preserve">Își recunoaște lacunele doar când le observă alții. </x:t>
  </x:si>
  <x:si>
    <x:t xml:space="preserve">Recunoaște deseori că nu știe, dar preferă să se descurce singur cu riscul de a greși sau de a nu termina la timp.</x:t>
  </x:si>
  <x:si>
    <x:t xml:space="preserve">Cere ajutor din timp atunci când subiectul îi depășește competența.</x:t>
  </x:si>
  <x:si>
    <x:t xml:space="preserve">Integrează perspectivele diferite de a sa în decizii</x:t>
  </x:si>
  <x:si>
    <x:t xml:space="preserve">Ignoră sau desconsideră părerile care îl contrazic.</x:t>
  </x:si>
  <x:si>
    <x:t xml:space="preserve">Ascultă părerile diferite, dar rar le folosește în decizii.</x:t>
  </x:si>
  <x:si>
    <x:t xml:space="preserve">Ține deseori cont de părerile altora, mai ales când sunt bine argumentate.</x:t>
  </x:si>
  <x:si>
    <x:t xml:space="preserve">Caută activ păreri diferite înainte de deciziile importante și le folosește.</x:t>
  </x:si>
  <x:si>
    <x:t xml:space="preserve">Inteligență emoțională și situațională</x:t>
  </x:si>
  <x:si>
    <x:t xml:space="preserve">Inteligența emoțională și situațională ne permite să înțelegem și să ne adaptăm la oameni și situații diferite. Ne pasă sincer unii de alții.</x:t>
  </x:si>
  <x:si>
    <x:t xml:space="preserve">Recunoaște și gestionează propriile emoții în interacțiuni</x:t>
  </x:si>
  <x:si>
    <x:t xml:space="preserve">Se stăpânește la suprafață, dar sub presiune tensiunea răbufnește.</x:t>
  </x:si>
  <x:si>
    <x:t xml:space="preserve">Își dă seama când e afectat emoțional și deseori reușește să se calmeze.</x:t>
  </x:si>
  <x:si>
    <x:t xml:space="preserve">Își gestionează bine emoțiile, inclusiv sub presiune.</x:t>
  </x:si>
  <x:si>
    <x:t xml:space="preserve">Arată interes autentic față de oameni ca indivizi</x:t>
  </x:si>
  <x:si>
    <x:t xml:space="preserve">Discută doar despre sarcini, niciodată despre oameni.</x:t>
  </x:si>
  <x:si>
    <x:t xml:space="preserve">Se interesează de oameni doar în cadru formal (evaluări, discuții 1-la-1).</x:t>
  </x:si>
  <x:si>
    <x:t xml:space="preserve">Se interesează deseori de contextul personal al colegilor.</x:t>
  </x:si>
  <x:si>
    <x:t xml:space="preserve">Cunoaște oamenii din echipă și ține cont de situația fiecăruia; oamenii se simt tratați ca persoane, nu ca resurse.</x:t>
  </x:si>
  <x:si>
    <x:t xml:space="preserve">Adaptează comunicarea la stilul și nevoile interlocutorului</x:t>
  </x:si>
  <x:si>
    <x:t xml:space="preserve">Nu își adaptează comunicarea la ceilalți, așteaptă ca ei să se adapteze la stilul său de comunicare. </x:t>
  </x:si>
  <x:si>
    <x:t xml:space="preserve">Își adaptează comunicarea doar când are timp și nu e sub presiune.</x:t>
  </x:si>
  <x:si>
    <x:t xml:space="preserve">Își adaptează deseori stilul în funcție de persoană.</x:t>
  </x:si>
  <x:si>
    <x:t xml:space="preserve">Își adaptează constant tonul, ritmul și mesajul la omul din fața lui.</x:t>
  </x:si>
  <x:si>
    <x:t xml:space="preserve">Deschis către lume</x:t>
  </x:si>
  <x:si>
    <x:t xml:space="preserve">Suntem curioși să înțelegem lumea din jur și căutăm activ repere externe, cu atenție specială la tot ce ține de digital și de noile tehnologii. Încurajăm schimbarea și ne adaptăm la ea.</x:t>
  </x:si>
  <x:si>
    <x:t xml:space="preserve">Caută activ benchmarkuri și tendințe externe</x:t>
  </x:si>
  <x:si>
    <x:t xml:space="preserve">Nu urmărește deloc ce se întâmplă în industrie sau în afara companiei.</x:t>
  </x:si>
  <x:si>
    <x:t xml:space="preserve">Se uită la exemple din exterior doar când i le aduc alții.</x:t>
  </x:si>
  <x:si>
    <x:t xml:space="preserve">Urmărește deseori tendințele din exterior, dar fără un obicei constant.</x:t>
  </x:si>
  <x:si>
    <x:t xml:space="preserve">Urmărește constant tendințele relevante și le aduce în discuțiile cu echipa.</x:t>
  </x:si>
  <x:si>
    <x:t xml:space="preserve">Îmbrățișează și facilitează schimbarea</x:t>
  </x:si>
  <x:si>
    <x:t xml:space="preserve">Se opune schimbării și influențează negativ atitudinea echipei.</x:t>
  </x:si>
  <x:si>
    <x:t xml:space="preserve">Acceptă schimbarea când e impusă, fără să o susțină.</x:t>
  </x:si>
  <x:si>
    <x:t xml:space="preserve">Acceptă schimbarea fără rezistență și deseori o susține.</x:t>
  </x:si>
  <x:si>
    <x:t xml:space="preserve">Susține activ schimbarea și ajută echipa să treacă prin ea.</x:t>
  </x:si>
  <x:si>
    <x:t xml:space="preserve">Explorează activ domenii adiacente sau noi tehnologii</x:t>
  </x:si>
  <x:si>
    <x:t xml:space="preserve">Nu iese deloc din domeniul lui de expertiză.</x:t>
  </x:si>
  <x:si>
    <x:t xml:space="preserve">Explorează lucruri noi doar când au legătură directă cu un proiect curent.</x:t>
  </x:si>
  <x:si>
    <x:t xml:space="preserve">Explorează deseori subiecte noi din curiozitate, fără un scop anume.</x:t>
  </x:si>
  <x:si>
    <x:t xml:space="preserve">Explorează constant domenii și tehnologii noi și aduce idei utile în echipă.</x:t>
  </x:si>
  <x:si>
    <x:t xml:space="preserve">Rezultate
(Results)</x:t>
  </x:si>
  <x:si>
    <x:t xml:space="preserve">Ambițios pentru companie</x:t>
  </x:si>
  <x:si>
    <x:t xml:space="preserve">Gândim la scară mare și suntem ambițioși pentru companie. Promovăm activ asumarea de riscuri, inovația și soluțiile îndrăznețe. Încurajăm schimbarea și vrem să fim în frunte. Urmărim rezultate excelente și durabile. Ne facem timp să evaluăm reușitele și să învățăm din eșecuri.</x:t>
  </x:si>
  <x:si>
    <x:t xml:space="preserve">Propune soluții inovatoare și îndrăznețe</x:t>
  </x:si>
  <x:si>
    <x:t xml:space="preserve">Nu propune niciodată soluții noi și nici nu le acceptă pe cele propuse de alții.</x:t>
  </x:si>
  <x:si>
    <x:t xml:space="preserve">Acceptă soluții noi de la alții doar când nu mai are de ales.</x:t>
  </x:si>
  <x:si>
    <x:t xml:space="preserve">Propune regulat soluții noi, le argumentează și e dispus să le testeze.</x:t>
  </x:si>
  <x:si>
    <x:t xml:space="preserve">Promovează asumarea responsabilă a riscului</x:t>
  </x:si>
  <x:si>
    <x:t xml:space="preserve">Descurajează orice asumare de risc, oricât de mică.</x:t>
  </x:si>
  <x:si>
    <x:t xml:space="preserve">Tolerează riscurile asumate de alții, dar nu le susține.</x:t>
  </x:si>
  <x:si>
    <x:t xml:space="preserve">Susține deseori asumarea de riscuri, dacă există o plasă de siguranță.</x:t>
  </x:si>
  <x:si>
    <x:t xml:space="preserve">Încurajează riscurile calculate și tratează eșecul ca pe o ocazie de învățare.</x:t>
  </x:si>
  <x:si>
    <x:t xml:space="preserve">Urmărește performanța și învață din eșecuri</x:t>
  </x:si>
  <x:si>
    <x:t xml:space="preserve">Nu analizează eșecurile și nu învață nimic din ele.</x:t>
  </x:si>
  <x:si>
    <x:t xml:space="preserve">Analizează eșecurile doar când îl obligă procesele companiei.</x:t>
  </x:si>
  <x:si>
    <x:t xml:space="preserve">Face deseori retrospective, mai ales după eșecurile mari.</x:t>
  </x:si>
  <x:si>
    <x:t xml:space="preserve">Face retrospective regulate, cu lecții clare și acțiuni de îmbunătățire.</x:t>
  </x:si>
  <x:si>
    <x:t xml:space="preserve">Grijă egală pentru angajați și clienți</x:t>
  </x:si>
  <x:si>
    <x:t xml:space="preserve">Credem cu tărie că satisfacția angajaților este temelia satisfacției și loialității clienților. Avem standarde înalte, bazate pe o bună înțelegere a mediului și a realității echipelor din teren. Suntem atenți la echilibrul muncă–viață al fiecăruia.</x:t>
  </x:si>
  <x:si>
    <x:t xml:space="preserve">Echilibrează presiunile de performanță cu bunăstarea echipei</x:t>
  </x:si>
  <x:si>
    <x:t xml:space="preserve">Pune presiune de performanță fără să țină cont de starea echipei.</x:t>
  </x:si>
  <x:si>
    <x:t xml:space="preserve">Verifică foarte rar nevoile echipei pentru obținerea performanței dorite (ex: resurse, susținere, procese).</x:t>
  </x:si>
  <x:si>
    <x:t xml:space="preserve">Echilibrează deseori cerințele de performanță cu nevoile echipei.</x:t>
  </x:si>
  <x:si>
    <x:t xml:space="preserve">Anticipează nevoile echipei sau consultă echipa pentru a le afla astfel încât să creeze condițiile pentru obținerea performanței.</x:t>
  </x:si>
  <x:si>
    <x:t xml:space="preserve">Acordă atenție echilibrului muncă-viață al membrilor echipei</x:t>
  </x:si>
  <x:si>
    <x:t xml:space="preserve">Ignoră complet semnele de dezechilibru între muncă și viața personală.</x:t>
  </x:si>
  <x:si>
    <x:t xml:space="preserve">Reacționează doar când dezechilibrul devine evident (absențe, demisii).</x:t>
  </x:si>
  <x:si>
    <x:t xml:space="preserve">Vorbește deseori despre importanța echilibrului, dar fără acțiuni concrete.</x:t>
  </x:si>
  <x:si>
    <x:t xml:space="preserve">Discută regulat cu oamenii despre echilibru și ajustează sarcinile când e nevoie.</x:t>
  </x:si>
  <x:si>
    <x:t xml:space="preserve">Construiește standarde înalte bazate pe înțelegerea realității</x:t>
  </x:si>
  <x:si>
    <x:t xml:space="preserve">Impune obiective rupte de realitatea echipei.</x:t>
  </x:si>
  <x:si>
    <x:t xml:space="preserve">Stabilește obiectivele după cum i se pare lui rezonabil, fără să consulte echipa.</x:t>
  </x:si>
  <x:si>
    <x:t xml:space="preserve">Consultă deseori echipa înainte să stabilească obiectivele.</x:t>
  </x:si>
  <x:si>
    <x:t xml:space="preserve">Stabilește obiective ambițioase și realiste, bazate pe ce poate echipa cu adevărat.</x:t>
  </x:si>
  <x:si>
    <x:t xml:space="preserve">Agilitate antreprenorială</x:t>
  </x:si>
  <x:si>
    <x:t xml:space="preserve">Lucrăm ca și cum am fi proprietarii companiei. Pentru că interacționăm cu o rețea extinsă în interiorul și în afara companiei, obținem rezultate mai rapide și mai bune, inclusiv prin testare și învățare rapidă.</x:t>
  </x:si>
  <x:si>
    <x:t xml:space="preserve">Testează și învață rapid (test &amp; learn)</x:t>
  </x:si>
  <x:si>
    <x:t xml:space="preserve">Planifică la nesfârșit și evită testele rapide.</x:t>
  </x:si>
  <x:si>
    <x:t xml:space="preserve">Testează doar când i se cere clar și timp suficient.</x:t>
  </x:si>
  <x:si>
    <x:t xml:space="preserve">Testează deseori soluții noi, dar lent și nestructurat.</x:t>
  </x:si>
  <x:si>
    <x:t xml:space="preserve">Testează rapid, măsoară rezultatele și ajustează din mers.</x:t>
  </x:si>
  <x:si>
    <x:t xml:space="preserve">Livrează rezultate mai rapid prin simplificare și prioritizare</x:t>
  </x:si>
  <x:si>
    <x:t xml:space="preserve">Menține procese complicate; viteza nu e o prioritate.</x:t>
  </x:si>
  <x:si>
    <x:t xml:space="preserve">Simplifică doar când vine presiune puternică din afară.</x:t>
  </x:si>
  <x:si>
    <x:t xml:space="preserve">Găsește deseori ocazii de simplificare și le rezolvă.</x:t>
  </x:si>
  <x:si>
    <x:t xml:space="preserve">Simplifică în mod constant procesele și elimină pașii care nu aduc valoare.</x:t>
  </x:si>
  <x:si>
    <x:t xml:space="preserve">Conectează rețeaua externă la oportunități de business</x:t>
  </x:si>
  <x:si>
    <x:t xml:space="preserve">Nu folosește deloc rețeaua externă ca sursă de oportunități.</x:t>
  </x:si>
  <x:si>
    <x:t xml:space="preserve">Găsește oportunități în rețeaua externă doar întâmplător.</x:t>
  </x:si>
  <x:si>
    <x:t xml:space="preserve">Caută deseori oportunități în rețeaua externă, când are un obiectiv clar.</x:t>
  </x:si>
  <x:si>
    <x:t xml:space="preserve">Își construiește intenționat rețeaua și aduce din ea oportunități concrete de business.</x:t>
  </x:si>
  <x:si>
    <x:t xml:space="preserve">Responsabilizare
(Empowerment)</x:t>
  </x:si>
  <x:si>
    <x:t xml:space="preserve">Decizii cât mai aproape de teren</x:t>
  </x:si>
  <x:si>
    <x:t xml:space="preserve">Responsabilizarea reală a fiecăruia dintre noi și a echipelor noastre face parte din felul în care lucrăm. Acționăm autonom, luăm inițiativa și ne asumăm riscuri inteligente. Luăm deciziile cât mai aproape de teren, ne stabilim obiective într-un cadru clar și ne raportăm rezultatele.</x:t>
  </x:si>
  <x:si>
    <x:t xml:space="preserve">Stimulează și facilitează autonomia și independența.</x:t>
  </x:si>
  <x:si>
    <x:t xml:space="preserve">Ia inițiativă și acționează fără să aștepte permisiunea</x:t>
  </x:si>
  <x:si>
    <x:t xml:space="preserve">Așteaptă aprobare pentru orice acțiune, chiar și pentru cele mărunte.</x:t>
  </x:si>
  <x:si>
    <x:t xml:space="preserve">Acționează fără aprobare doar în urgențe clare.</x:t>
  </x:si>
  <x:si>
    <x:t xml:space="preserve">Ia deseori inițiativa, mai ales când riscul e mic.</x:t>
  </x:si>
  <x:si>
    <x:t xml:space="preserve">Acționează din proprie inițiativă în cadrul său de autonomie și raportează transparent ce a făcut.</x:t>
  </x:si>
  <x:si>
    <x:t xml:space="preserve">Comunică și raportează doar când i se cere.</x:t>
  </x:si>
  <x:si>
    <x:t xml:space="preserve">Comunică clar dar raportează mai ales veștile bune.</x:t>
  </x:si>
  <x:si>
    <x:t xml:space="preserve">Cultivă inteligența colectivă</x:t>
  </x:si>
  <x:si>
    <x:t xml:space="preserve">Încurajăm diversitatea și cultivăm talentele complementare în interiorul echipelor și între ele. Construim un spațiu sigur în care fiecare poate vorbi deschis și este inclus. Putem fi în dezacord într-un mod pozitiv și constructiv, iar odată decizia luată, o susținem chiar dacă diferă de punctul nostru de vedere. Construim soluții împreună, clarificăm procesele de decizie, cerem sfaturi și refuzăm compromisul facil.</x:t>
  </x:si>
  <x:si>
    <x:t xml:space="preserve">Susține decizia finală chiar dacă diferă de propria opinie</x:t>
  </x:si>
  <x:si>
    <x:t xml:space="preserve">Sabotează sau subminează deciziile cu care nu e de acord.</x:t>
  </x:si>
  <x:si>
    <x:t xml:space="preserve">Acceptă ezitant deciziile și își exprimă dezacordul pe la colțuri.</x:t>
  </x:si>
  <x:si>
    <x:t xml:space="preserve">Acceptă deseori deciziile, dar fără convingere vizibilă.</x:t>
  </x:si>
  <x:si>
    <x:t xml:space="preserve">Susține deschis decizia finală chiar dacă a avut altă părere, și spune asta explicit.</x:t>
  </x:si>
  <x:si>
    <x:t xml:space="preserve">Caută și oferă sfaturi fără a impune soluții</x:t>
  </x:si>
  <x:si>
    <x:t xml:space="preserve">Impune soluțiile proprii și nu cere niciodată sfatul altora.</x:t>
  </x:si>
  <x:si>
    <x:t xml:space="preserve">Cere sfaturi, dar le ignoră în decizia finală.</x:t>
  </x:si>
  <x:si>
    <x:t xml:space="preserve">Cere deseori sfaturi, dar le folosește doar când îi convin.</x:t>
  </x:si>
  <x:si>
    <x:t xml:space="preserve">Cere sfaturi din surse diverse și se vede în decizii că ține cont de ele.</x:t>
  </x:si>
  <x:si>
    <x:t xml:space="preserve">Refuză compromisul sistematic în favoarea soluțiilor mai bune</x:t>
  </x:si>
  <x:si>
    <x:t xml:space="preserve">Evită să ia decizii care ar putea supăra pe cineva, indiferent de situație.</x:t>
  </x:si>
  <x:si>
    <x:t xml:space="preserve">Ia decizii dificile doar când nu există altă soluție.</x:t>
  </x:si>
  <x:si>
    <x:t xml:space="preserve">E dispus să ia decizii bune chiar dacă pot deranja pe cineva.</x:t>
  </x:si>
  <x:si>
    <x:t xml:space="preserve">Prioritizează deciziile corecte, chiar dacă implică supărarea altora.</x:t>
  </x:si>
  <x:si>
    <x:t xml:space="preserve">Ajută echipa</x:t>
  </x:si>
  <x:si>
    <x:t xml:space="preserve">Ne folosim abilitățile și talentele pentru a contribui la rezultatele echipei. Ca să fim agili și să accelerăm progresul, lăsăm decizia să fie luată la nivelul potrivit. Toți contribuim activ la dinamica și dezvoltarea echipei.</x:t>
  </x:si>
  <x:si>
    <x:t xml:space="preserve">Alimentează dinamica și energia pozitivă a echipei</x:t>
  </x:si>
  <x:si>
    <x:t xml:space="preserve">Prezența lui scade energia echipei: arată negativism, critică, ironizează.</x:t>
  </x:si>
  <x:si>
    <x:t xml:space="preserve">Contribuie deseori la energia pozitivă, mai ales când rezultatele sunt bune.</x:t>
  </x:si>
  <x:si>
    <x:t xml:space="preserve">Aduce constant energie pozitivă; echipa îl vede ca pe un factor de motivare.</x:t>
  </x:si>
  <x:si>
    <x:t xml:space="preserve">Facilitează deblocarea obstacolelor pentru colegii din echipă</x:t>
  </x:si>
  <x:si>
    <x:t xml:space="preserve">Nu se implică în problemele altora; fiecare se descurcă singur.</x:t>
  </x:si>
  <x:si>
    <x:t xml:space="preserve">Ajută la deblocare doar când i se cere direct.</x:t>
  </x:si>
  <x:si>
    <x:t xml:space="preserve">Ajută deseori când observă că cineva e blocat.</x:t>
  </x:si>
  <x:si>
    <x:t xml:space="preserve">Urmărește activ progresul echipei și intervine din proprie inițiativă când apar blocaje.</x:t>
  </x:si>
  <x:si>
    <x:t xml:space="preserve">Dezvoltă competențele echipei prin sharing de cunoaștere</x:t>
  </x:si>
  <x:si>
    <x:t xml:space="preserve">Ține cunoștințele pentru el; nu le împarte cu echipa.</x:t>
  </x:si>
  <x:si>
    <x:t xml:space="preserve">Împărtășește ce știe doar când i se cere explicit.</x:t>
  </x:si>
  <x:si>
    <x:t xml:space="preserve">Face deseori sesiuni informale în care împărtășește ce știe.</x:t>
  </x:si>
  <x:si>
    <x:t xml:space="preserve">Creează ocazii regulate de învățare (sesiuni, documentație, mentorat), ca expertiza lui să fie accesibilă tuturor.</x:t>
  </x:si>
  <x:si>
    <x:t xml:space="preserve">Scor abilitate
(1–4)</x:t>
  </x:si>
  <x:si>
    <x:t xml:space="preserve">Procent
abilitate</x:t>
  </x:si>
  <x:si>
    <x:t xml:space="preserve">Scor atribut
(1–4)</x:t>
  </x:si>
  <x:si>
    <x:t xml:space="preserve">Procent
atribut</x:t>
  </x:si>
  <x:si>
    <x:t xml:space="preserve">Inspiră (Inspiring)</x:t>
  </x:si>
  <x:si>
    <x:t xml:space="preserve">Construiește încredere (Create Trust)</x:t>
  </x:si>
  <x:si>
    <x:t xml:space="preserve">Conștientizare (Awareness)</x:t>
  </x:si>
  <x:si>
    <x:t xml:space="preserve">Rezultate (Results)</x:t>
  </x:si>
  <x:si>
    <x:t xml:space="preserve">Responsabilizare (Empowerment)</x:t>
  </x:si>
  <x:si>
    <x:t xml:space="preserve">Scorurile se calculează automat din coloana „Răspuns” a chestionarului. Metoda de calcul este explicată în sheet-ul „Metodologie”.</x:t>
  </x:si>
  <x:si>
    <x:t xml:space="preserve">Agregare 360° — o singură persoană evaluată, mai mulți evaluatori</x:t>
  </x:si>
  <x:si>
    <x:t xml:space="preserve">Copiați în coloanele „Evaluator 1–8” scorurile pe abilități din sheet-ul „Rezultate” al fiecărui chestionar completat. Mediile se calculează automat; coloanele goale sunt ignorate.</x:t>
  </x:si>
  <x:si>
    <x:t xml:space="preserve">Evaluator 1</x:t>
  </x:si>
  <x:si>
    <x:t xml:space="preserve">Evaluator 2</x:t>
  </x:si>
  <x:si>
    <x:t xml:space="preserve">Evaluator 3</x:t>
  </x:si>
  <x:si>
    <x:t xml:space="preserve">Evaluator 4</x:t>
  </x:si>
  <x:si>
    <x:t xml:space="preserve">Evaluator 5</x:t>
  </x:si>
  <x:si>
    <x:t xml:space="preserve">Evaluator 6</x:t>
  </x:si>
  <x:si>
    <x:t xml:space="preserve">Evaluator 7</x:t>
  </x:si>
  <x:si>
    <x:t xml:space="preserve">Evaluator 8</x:t>
  </x:si>
  <x:si>
    <x:t xml:space="preserve">Media
(1–4)</x:t>
  </x:si>
  <x:si>
    <x:t xml:space="preserve">Procent</x:t>
  </x:si>
  <x:si>
    <x:t xml:space="preserve">Metoda de calcul a rezultatelor</x:t>
  </x:si>
  <x:si>
    <x:t xml:space="preserve">1. Cum se punctează un răspuns</x:t>
  </x:si>
  <x:si>
    <x:t xml:space="preserve">Pentru fiecare comportament evaluat, evaluatorul alege descrierea care se potrivește cel mai bine. Fiecare treaptă valorează un număr de puncte: Niciodată = 1 punct, Rar = 2 puncte, Deseori = 3 puncte, Aproape întotdeauna = 4 puncte.</x:t>
  </x:si>
  <x:si>
    <x:t xml:space="preserve">Răspunsul „N/A — Nu am putut observa” nu valorează niciun punct. Itemul respectiv este scos complet din calcul, ca să nu tragă scorul în jos și să nu oblige evaluatorul să ghicească.</x:t>
  </x:si>
  <x:si>
    <x:t xml:space="preserve">2. Scorul pe abilitate</x:t>
  </x:si>
  <x:si>
    <x:t xml:space="preserve">Fiecare abilitate este măsurată prin 3 comportamente (itemi). Scorul abilității = media itemilor care au primit punctaj.</x:t>
  </x:si>
  <x:si>
    <x:t xml:space="preserve">Exemplu: itemii au primit 3, 4 și N/A. Scorul abilității = (3 + 4) ÷ 2 = 3,50 din 4.</x:t>
  </x:si>
  <x:si>
    <x:t xml:space="preserve">3. Scorul pe atribut</x:t>
  </x:si>
  <x:si>
    <x:t xml:space="preserve">Fiecare atribut (Inspiring, Create Trust, Awareness, Results, Empowerment) cuprinde 3 abilități. Scorul atributului = media celor 3 scoruri de abilitate.</x:t>
  </x:si>
  <x:si>
    <x:t xml:space="preserve">Exemplu: abilitățile au scorurile 3,50; 2,67; 3,67. Scorul atributului = (3,50 + 2,67 + 3,67) ÷ 3 = 3,28 din 4.</x:t>
  </x:si>
  <x:si>
    <x:t xml:space="preserve">Se face media abilităților, nu a tuturor celor 9 itemi, pentru ca fiecare abilitate să cântărească la fel, chiar dacă la una dintre ele un item a fost N/A.</x:t>
  </x:si>
  <x:si>
    <x:t xml:space="preserve">4. Procentele</x:t>
  </x:si>
  <x:si>
    <x:t xml:space="preserve">Procentul = scorul împărțit la 4. Exemplu: 3,28 din 4 = 82%. Procentul spune cât din nivelul maxim posibil a fost atins.</x:t>
  </x:si>
  <x:si>
    <x:t xml:space="preserve">5. Agregarea 360° (mai mulți evaluatori)</x:t>
  </x:si>
  <x:si>
    <x:t xml:space="preserve">O persoană este evaluată de mai mulți colegi (superior, colegi de același nivel, subalterni). Fiecare completează chestionarul separat.</x:t>
  </x:si>
  <x:si>
    <x:t xml:space="preserve">Scorul agregat pe abilitate = media scorurilor date de toți evaluatorii pentru acea abilitate. Scorul agregat pe atribut = media celor 3 abilități agregate. Toți evaluatorii cântăresc la fel.</x:t>
  </x:si>
  <x:si>
    <x:t xml:space="preserve">Exemplu: 3 evaluatori dau unei abilități 3,00; 3,50 și 2,50. Scorul agregat = (3,00 + 3,50 + 2,50) ÷ 3 = 3,00 din 4 = 75%.</x:t>
  </x:si>
  <x:si>
    <x:t xml:space="preserve">6. Cum se citesc scorurile</x:t>
  </x:si>
  <x:si>
    <x:t xml:space="preserve">sub 2,00 (sub 50%) — zonă critică: comportamentul lipsește sau apare doar la cerere; prioritate de dezvoltare.</x:t>
  </x:si>
  <x:si>
    <x:t xml:space="preserve">2,00 – 2,99 (50–74%) — de dezvoltat: comportamentul apare, dar inconstant.</x:t>
  </x:si>
  <x:si>
    <x:t xml:space="preserve">3,00 – 3,49 (75–87%) — solid: comportament prezent în mod regulat.</x:t>
  </x:si>
  <x:si>
    <x:t xml:space="preserve">3,50 – 4,00 (88–100%) — punct forte: comportament constant, vizibil pentru toată echipa.</x:t>
  </x:si>
  <x:si>
    <x:t xml:space="preserve">Notă: scorurile arată frecvența percepută a comportamentelor, nu valoarea persoanei. Diferențele dintre categoriile de evaluatori (ex: subalterni vs. superior) sunt adesea mai utile decât media generală.</x:t>
  </x:si>
</x:sst>
</file>

<file path=xl/styles.xml><?xml version="1.0" encoding="utf-8"?>
<x:styleSheet xmlns:x="http://schemas.openxmlformats.org/spreadsheetml/2006/main">
  <x:fonts count="12">
    <x:font>
      <x:sz val="11"/>
      <x:color theme="1"/>
      <x:name val="Calibri"/>
    </x:font>
    <x:font>
      <x:b/>
      <x:sz val="10"/>
      <x:color theme="1"/>
      <x:name val="Arial"/>
    </x:font>
    <x:font>
      <x:b/>
      <x:sz val="9"/>
      <x:color theme="1"/>
      <x:name val="Arial"/>
    </x:font>
    <x:font>
      <x:sz val="9"/>
      <x:color theme="1"/>
      <x:name val="Arial"/>
    </x:font>
    <x:font>
      <x:sz val="9"/>
      <x:name val="Arial"/>
    </x:font>
    <x:font>
      <x:sz val="9"/>
      <x:name val="Arial"/>
    </x:font>
    <x:font>
      <x:b/>
      <x:sz val="9"/>
      <x:name val="Arial"/>
    </x:font>
    <x:font>
      <x:i/>
      <x:sz val="9"/>
      <x:name val="Arial"/>
    </x:font>
    <x:font>
      <x:b/>
      <x:sz val="11"/>
      <x:name val="Arial"/>
    </x:font>
    <x:font>
      <x:b/>
      <x:sz val="14"/>
      <x:name val="Arial"/>
    </x:font>
    <x:font>
      <x:sz val="9"/>
      <x:color theme="1"/>
      <x:name val="Arial"/>
    </x:font>
    <x:font>
      <x:b/>
      <x:sz val="9"/>
      <x:color theme="1"/>
      <x:name val="Arial"/>
    </x:font>
  </x:fonts>
  <x:fills count="5">
    <x:fill>
      <x:patternFill patternType="none"/>
    </x:fill>
    <x:fill>
      <x:patternFill patternType="gray125"/>
    </x:fill>
    <x:fill>
      <x:patternFill patternType="solid">
        <x:fgColor theme="9" tint="0.79989"/>
      </x:patternFill>
    </x:fill>
    <x:fill>
      <x:patternFill patternType="solid">
        <x:fgColor rgb="FFDDEBF7"/>
      </x:patternFill>
    </x:fill>
    <x:fill>
      <x:patternFill patternType="solid">
        <x:fgColor theme="0"/>
      </x:patternFill>
    </x:fill>
  </x:fills>
  <x:borders count="5">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rder>
    <x:border>
      <x:left style="thin">
        <x:color rgb="FFBFBFBF"/>
      </x:left>
      <x:right style="thin">
        <x:color rgb="FFBFBFBF"/>
      </x:right>
      <x:bottom style="thin">
        <x:color rgb="FFBFBFBF"/>
      </x:bottom>
    </x:border>
    <x:border>
      <x:left style="thin">
        <x:color rgb="FFBFBFBF"/>
      </x:left>
      <x:right style="thin">
        <x:color rgb="FFBFBFBF"/>
      </x:right>
    </x:border>
  </x:borders>
  <x:cellStyleXfs count="1">
    <x:xf numFmtId="0" fontId="0" fillId="0" borderId="0"/>
  </x:cellStyleXfs>
  <x:cellXfs count="35">
    <x:xf numFmtId="0" fontId="0" fillId="0" borderId="0" xfId="0"/>
    <x:xf numFmtId="9" fontId="5" fillId="0" borderId="1" xfId="0" applyNumberFormat="1" applyFont="1" applyBorder="1" applyAlignment="1">
      <x:alignment horizontal="center" vertical="center" wrapText="1"/>
    </x:xf>
    <x:xf numFmtId="2" fontId="5" fillId="0" borderId="1" xfId="0" applyNumberFormat="1" applyFont="1" applyBorder="1" applyAlignment="1">
      <x:alignment horizontal="center" vertical="center" wrapText="1"/>
    </x:xf>
    <x:xf numFmtId="0" fontId="6" fillId="0" borderId="1" xfId="0" applyFont="1" applyBorder="1" applyAlignment="1">
      <x:alignment horizontal="center" vertical="center" wrapText="1"/>
    </x:xf>
    <x:xf numFmtId="0" fontId="2" fillId="0" borderId="1" xfId="0" applyFont="1" applyBorder="1" applyAlignment="1">
      <x:alignment horizontal="center" vertical="center" wrapText="1"/>
    </x:xf>
    <x:xf numFmtId="0" fontId="1" fillId="0" borderId="1" xfId="0" applyFont="1" applyBorder="1" applyAlignment="1">
      <x:alignment horizontal="center" vertical="center" wrapText="1"/>
    </x:xf>
    <x:xf numFmtId="0" fontId="2" fillId="2" borderId="1" xfId="0" applyFont="1" applyFill="1" applyBorder="1" applyAlignment="1">
      <x:alignment horizontal="left" vertical="top" wrapText="1"/>
    </x:xf>
    <x:xf numFmtId="0" fontId="4" fillId="0" borderId="1" xfId="0" applyFont="1" applyBorder="1" applyAlignment="1">
      <x:alignment horizontal="left" vertical="top" wrapText="1"/>
    </x:xf>
    <x:xf numFmtId="0" fontId="5" fillId="0" borderId="1" xfId="0" applyFont="1" applyBorder="1" applyAlignment="1">
      <x:alignment horizontal="left" vertical="top" wrapText="1"/>
    </x:xf>
    <x:xf numFmtId="0" fontId="6" fillId="3" borderId="1" xfId="0" applyFont="1" applyFill="1" applyBorder="1" applyAlignment="1">
      <x:alignment horizontal="center" vertical="center" wrapText="1"/>
    </x:xf>
    <x:xf numFmtId="0" fontId="5" fillId="0" borderId="1" xfId="0" applyFont="1" applyBorder="1" applyAlignment="1">
      <x:alignment vertical="center" wrapText="1"/>
    </x:xf>
    <x:xf numFmtId="0" fontId="7" fillId="0" borderId="0" xfId="0" applyFont="1"/>
    <x:xf numFmtId="0" fontId="8" fillId="0" borderId="0" xfId="0" applyFont="1"/>
    <x:xf numFmtId="0" fontId="9" fillId="0" borderId="0" xfId="0" applyFont="1" applyAlignment="1">
      <x:alignment vertical="top" wrapText="1"/>
    </x:xf>
    <x:xf numFmtId="0" fontId="5" fillId="0" borderId="0" xfId="0" applyFont="1" applyAlignment="1">
      <x:alignment vertical="top" wrapText="1"/>
    </x:xf>
    <x:xf numFmtId="0" fontId="8" fillId="0" borderId="0" xfId="0" applyFont="1" applyAlignment="1">
      <x:alignment vertical="top" wrapText="1"/>
    </x:xf>
    <x:xf numFmtId="0" fontId="2" fillId="2" borderId="4" xfId="0" applyFont="1" applyFill="1" applyBorder="1" applyAlignment="1">
      <x:alignment horizontal="left" vertical="top" wrapText="1"/>
    </x:xf>
    <x:xf numFmtId="0" fontId="2" fillId="0" borderId="1" xfId="0" applyFont="1" applyBorder="1" applyAlignment="1">
      <x:alignment horizontal="center" vertical="center" wrapText="1"/>
    </x:xf>
    <x:xf numFmtId="0" fontId="3" fillId="0" borderId="1" xfId="0" applyFont="1" applyBorder="1" applyAlignment="1">
      <x:alignment horizontal="center" vertical="center" wrapText="1"/>
    </x:xf>
    <x:xf numFmtId="0" fontId="3" fillId="0" borderId="3" xfId="0" applyFont="1" applyBorder="1" applyAlignment="1">
      <x:alignment horizontal="center" vertical="center" wrapText="1"/>
    </x:xf>
    <x:xf numFmtId="0" fontId="2" fillId="0" borderId="2" xfId="0" applyFont="1" applyBorder="1" applyAlignment="1">
      <x:alignment horizontal="center" vertical="center" wrapText="1"/>
    </x:xf>
    <x:xf numFmtId="0" fontId="3" fillId="0" borderId="2" xfId="0" applyFont="1" applyBorder="1" applyAlignment="1">
      <x:alignment horizontal="center" vertical="center" wrapText="1"/>
    </x:xf>
    <x:xf numFmtId="0" fontId="6" fillId="0" borderId="1" xfId="0" applyFont="1" applyBorder="1" applyAlignment="1">
      <x:alignment horizontal="center" vertical="center" wrapText="1"/>
    </x:xf>
    <x:xf numFmtId="2" fontId="5" fillId="0" borderId="1" xfId="0" applyNumberFormat="1" applyFont="1" applyBorder="1" applyAlignment="1">
      <x:alignment horizontal="center" vertical="center" wrapText="1"/>
    </x:xf>
    <x:xf numFmtId="9" fontId="5" fillId="0" borderId="1" xfId="0" applyNumberFormat="1" applyFont="1" applyBorder="1" applyAlignment="1">
      <x:alignment horizontal="center" vertical="center" wrapText="1"/>
    </x:xf>
    <x:xf numFmtId="0" fontId="7" fillId="0" borderId="0" xfId="0" applyFont="1" applyAlignment="1">
      <x:alignment vertical="top" wrapText="1"/>
    </x:xf>
    <x:xf numFmtId="0" fontId="11" fillId="2" borderId="1" xfId="0" applyFont="1" applyFill="1" applyBorder="1" applyAlignment="1">
      <x:alignment horizontal="left" vertical="top" wrapText="1"/>
    </x:xf>
    <x:xf numFmtId="0" fontId="4" fillId="4" borderId="1" xfId="0" applyFont="1" applyFill="1" applyBorder="1" applyAlignment="1">
      <x:alignment horizontal="left" vertical="top" wrapText="1"/>
    </x:xf>
    <x:xf numFmtId="0" fontId="1" fillId="0" borderId="1" xfId="0" applyFont="1" applyFill="1" applyBorder="1" applyAlignment="1">
      <x:alignment horizontal="center" vertical="center" wrapText="1"/>
    </x:xf>
    <x:xf numFmtId="0" fontId="4" fillId="0" borderId="1" xfId="0" applyFont="1" applyFill="1" applyBorder="1" applyAlignment="1">
      <x:alignment horizontal="left" vertical="top" wrapText="1"/>
    </x:xf>
    <x:xf numFmtId="0" fontId="10" fillId="0" borderId="1" xfId="0" applyFont="1" applyFill="1" applyBorder="1" applyAlignment="1">
      <x:alignment horizontal="left" vertical="top" wrapText="1"/>
    </x:xf>
    <x:xf numFmtId="0" fontId="4" fillId="0" borderId="4" xfId="0" applyFont="1" applyFill="1" applyBorder="1" applyAlignment="1">
      <x:alignment horizontal="left" vertical="top" wrapText="1"/>
    </x:xf>
    <x:xf numFmtId="0" fontId="5" fillId="0" borderId="1" xfId="0" applyFont="1" applyFill="1" applyBorder="1" applyAlignment="1">
      <x:alignment horizontal="left" vertical="top" wrapText="1"/>
    </x:xf>
    <x:xf numFmtId="0" fontId="0" fillId="0" borderId="0" xfId="0" applyFill="1"/>
    <x:xf numFmtId="0" fontId="2" fillId="0" borderId="1" xfId="0" applyFont="1" applyFill="1" applyBorder="1" applyAlignment="1">
      <x:alignment horizontal="left" vertical="top"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DEADA"/>
      <x:rgbColor rgb="FFDDEBF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00B050"/>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24e4b80b3b432d" /><Relationship Type="http://schemas.openxmlformats.org/officeDocument/2006/relationships/theme" Target="/xl/theme/theme1.xml" Id="R19e4e6501fe34ce7" /><Relationship Type="http://schemas.openxmlformats.org/officeDocument/2006/relationships/sharedStrings" Target="/xl/sharedStrings.xml" Id="R171ebe0afbbe4ad2" /><Relationship Type="http://schemas.openxmlformats.org/officeDocument/2006/relationships/worksheet" Target="/xl/worksheets/sheet1.xml" Id="R436caf18d84747bc" /><Relationship Type="http://schemas.openxmlformats.org/officeDocument/2006/relationships/worksheet" Target="/xl/worksheets/sheet2.xml" Id="R50087c3222734e73" /><Relationship Type="http://schemas.openxmlformats.org/officeDocument/2006/relationships/worksheet" Target="/xl/worksheets/sheet3.xml" Id="Re6442e1890df410f" /><Relationship Type="http://schemas.openxmlformats.org/officeDocument/2006/relationships/worksheet" Target="/xl/worksheets/sheet4.xml" Id="R08f72257957041a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FormatPr baseColWidth="10" defaultColWidth="8.6640625" defaultRowHeight="15"/>
  <x:cols>
    <x:col min="1" max="1" width="18" customWidth="1"/>
    <x:col min="2" max="3" width="28" customWidth="1"/>
    <x:col min="4" max="4" width="48" customWidth="1"/>
    <x:col min="5" max="5" width="6" customWidth="1"/>
    <x:col min="6" max="10" width="46" customWidth="1"/>
    <x:col min="11" max="11" width="13" customWidth="1"/>
  </x:cols>
  <x:sheetData>
    <x:row r="1" ht="36" customHeight="1">
      <x:c r="A1" s="5" t="s">
        <x:v>0</x:v>
      </x:c>
      <x:c r="B1" s="5" t="s">
        <x:v>1</x:v>
      </x:c>
      <x:c r="C1" s="5" t="s">
        <x:v>2</x:v>
      </x:c>
      <x:c r="D1" s="5" t="s">
        <x:v>3</x:v>
      </x:c>
      <x:c r="E1" s="5" t="s">
        <x:v>4</x:v>
      </x:c>
      <x:c r="F1" s="28" t="s">
        <x:v>5</x:v>
      </x:c>
      <x:c r="G1" s="28" t="s">
        <x:v>6</x:v>
      </x:c>
      <x:c r="H1" s="28" t="s">
        <x:v>7</x:v>
      </x:c>
      <x:c r="I1" s="28" t="s">
        <x:v>8</x:v>
      </x:c>
      <x:c r="J1" s="28" t="s">
        <x:v>9</x:v>
      </x:c>
      <x:c r="K1" s="5" t="s">
        <x:v>10</x:v>
      </x:c>
    </x:row>
    <x:row r="2" ht="25.5" customHeight="1">
      <x:c r="A2" s="20" t="s">
        <x:v>11</x:v>
      </x:c>
      <x:c r="B2" s="21" t="s">
        <x:v>12</x:v>
      </x:c>
      <x:c r="C2" s="21" t="s">
        <x:v>13</x:v>
      </x:c>
      <x:c r="D2" s="6" t="s">
        <x:v>14</x:v>
      </x:c>
      <x:c r="E2" s="4">
        <x:v>1</x:v>
      </x:c>
      <x:c r="F2" s="29" t="s">
        <x:v>15</x:v>
      </x:c>
      <x:c r="G2" s="29" t="s">
        <x:v>16</x:v>
      </x:c>
      <x:c r="H2" s="29" t="s">
        <x:v>17</x:v>
      </x:c>
      <x:c r="I2" s="29" t="s">
        <x:v>18</x:v>
      </x:c>
      <x:c r="J2" s="32" t="s">
        <x:v>19</x:v>
      </x:c>
      <x:c r="K2" s="3"/>
    </x:row>
    <x:row r="3" ht="25.5" customHeight="1">
      <x:c r="A3" s="20"/>
      <x:c r="B3" s="20"/>
      <x:c r="C3" s="20"/>
      <x:c r="D3" s="6" t="s">
        <x:v>20</x:v>
      </x:c>
      <x:c r="E3" s="4">
        <x:v>2</x:v>
      </x:c>
      <x:c r="F3" s="29" t="str">
        <x:v>Nu face sesiuni de acompaniere sau de mentorat prin care să își ajute colegii să crească.</x:v>
      </x:c>
      <x:c r="G3" s="30" t="s">
        <x:v>21</x:v>
      </x:c>
      <x:c r="H3" s="30" t="s">
        <x:v>22</x:v>
      </x:c>
      <x:c r="I3" s="29" t="s">
        <x:v>23</x:v>
      </x:c>
      <x:c r="J3" s="32" t="s">
        <x:v>19</x:v>
      </x:c>
      <x:c r="K3" s="3"/>
    </x:row>
    <x:row r="4" ht="25.5" customHeight="1">
      <x:c r="A4" s="20"/>
      <x:c r="B4" s="20"/>
      <x:c r="C4" s="20"/>
      <x:c r="D4" s="6" t="s">
        <x:v>24</x:v>
      </x:c>
      <x:c r="E4" s="4">
        <x:v>3</x:v>
      </x:c>
      <x:c r="F4" s="29" t="s">
        <x:v>25</x:v>
      </x:c>
      <x:c r="G4" s="30" t="s">
        <x:v>26</x:v>
      </x:c>
      <x:c r="H4" s="29" t="str">
        <x:v>Caută destul de des să se îmbunătățească, dar schimbările pozitive nu sunt vizibile.</x:v>
      </x:c>
      <x:c r="I4" s="29" t="s">
        <x:v>27</x:v>
      </x:c>
      <x:c r="J4" s="32" t="s">
        <x:v>19</x:v>
      </x:c>
      <x:c r="K4" s="3"/>
    </x:row>
    <x:row r="5" ht="25.5" customHeight="1">
      <x:c r="A5" s="20"/>
      <x:c r="B5" s="21" t="s">
        <x:v>28</x:v>
      </x:c>
      <x:c r="C5" s="21" t="s">
        <x:v>29</x:v>
      </x:c>
      <x:c r="D5" s="6" t="s">
        <x:v>30</x:v>
      </x:c>
      <x:c r="E5" s="4">
        <x:v>1</x:v>
      </x:c>
      <x:c r="F5" s="29" t="s">
        <x:v>31</x:v>
      </x:c>
      <x:c r="G5" s="29" t="s">
        <x:v>32</x:v>
      </x:c>
      <x:c r="H5" s="29" t="s">
        <x:v>33</x:v>
      </x:c>
      <x:c r="I5" s="29" t="s">
        <x:v>34</x:v>
      </x:c>
      <x:c r="J5" s="32" t="s">
        <x:v>19</x:v>
      </x:c>
      <x:c r="K5" s="3"/>
    </x:row>
    <x:row r="6" ht="25.5" customHeight="1">
      <x:c r="A6" s="20"/>
      <x:c r="B6" s="20"/>
      <x:c r="C6" s="20"/>
      <x:c r="D6" s="6" t="s">
        <x:v>35</x:v>
      </x:c>
      <x:c r="E6" s="4">
        <x:v>2</x:v>
      </x:c>
      <x:c r="F6" s="29" t="s">
        <x:v>36</x:v>
      </x:c>
      <x:c r="G6" s="29" t="s">
        <x:v>37</x:v>
      </x:c>
      <x:c r="H6" s="29" t="s">
        <x:v>38</x:v>
      </x:c>
      <x:c r="I6" s="29" t="s">
        <x:v>39</x:v>
      </x:c>
      <x:c r="J6" s="32" t="s">
        <x:v>19</x:v>
      </x:c>
      <x:c r="K6" s="3"/>
    </x:row>
    <x:row r="7" ht="25.5" customHeight="1">
      <x:c r="A7" s="20"/>
      <x:c r="B7" s="20"/>
      <x:c r="C7" s="20"/>
      <x:c r="D7" s="6" t="s">
        <x:v>40</x:v>
      </x:c>
      <x:c r="E7" s="4">
        <x:v>3</x:v>
      </x:c>
      <x:c r="F7" s="30" t="s">
        <x:v>41</x:v>
      </x:c>
      <x:c r="G7" s="30" t="str">
        <x:v>Sunt deseori vizibile poziționările diferite în funcție de interlocutor și de situație.</x:v>
      </x:c>
      <x:c r="H7" s="30" t="s">
        <x:v>42</x:v>
      </x:c>
      <x:c r="I7" s="29" t="s">
        <x:v>43</x:v>
      </x:c>
      <x:c r="J7" s="32" t="s">
        <x:v>19</x:v>
      </x:c>
      <x:c r="K7" s="3"/>
    </x:row>
    <x:row r="8" ht="25.5" customHeight="1">
      <x:c r="A8" s="20"/>
      <x:c r="B8" s="21" t="s">
        <x:v>44</x:v>
      </x:c>
      <x:c r="C8" s="21" t="s">
        <x:v>45</x:v>
      </x:c>
      <x:c r="D8" s="6" t="s">
        <x:v>46</x:v>
      </x:c>
      <x:c r="E8" s="4">
        <x:v>1</x:v>
      </x:c>
      <x:c r="F8" s="29" t="s">
        <x:v>47</x:v>
      </x:c>
      <x:c r="G8" s="29" t="s">
        <x:v>48</x:v>
      </x:c>
      <x:c r="H8" s="29" t="s">
        <x:v>49</x:v>
      </x:c>
      <x:c r="I8" s="29" t="s">
        <x:v>50</x:v>
      </x:c>
      <x:c r="J8" s="32" t="s">
        <x:v>19</x:v>
      </x:c>
      <x:c r="K8" s="3"/>
    </x:row>
    <x:row r="9" ht="25.5" customHeight="1">
      <x:c r="A9" s="20"/>
      <x:c r="B9" s="20"/>
      <x:c r="C9" s="20"/>
      <x:c r="D9" s="16" t="s">
        <x:v>51</x:v>
      </x:c>
      <x:c r="F9" s="31" t="str">
        <x:v>Nu tolerează eroarea și sancționează orice eșec. Critica lui descurajează inițiativa, iar oamenii ajung să evite riscul și să nu mai propună idei.</x:v>
      </x:c>
      <x:c r="G9" s="31" t="s">
        <x:v>52</x:v>
      </x:c>
      <x:c r="H9" s="31" t="s">
        <x:v>53</x:v>
      </x:c>
      <x:c r="I9" s="31" t="s">
        <x:v>54</x:v>
      </x:c>
      <x:c r="J9" s="33"/>
      <x:c r="K9" s="3"/>
    </x:row>
    <x:row r="10" ht="39" customHeight="1">
      <x:c r="A10" s="20"/>
      <x:c r="B10" s="20"/>
      <x:c r="C10" s="20"/>
      <x:c r="D10" s="6" t="s">
        <x:v>55</x:v>
      </x:c>
      <x:c r="E10" s="4">
        <x:v>3</x:v>
      </x:c>
      <x:c r="F10" s="32" t="str">
        <x:v>Se laudă cu realizări care nu îi aparțin sau cu realizări obținute în colaborare cu alții; oamenii care au muncit nu sunt menționați.</x:v>
      </x:c>
      <x:c r="G10" s="29" t="str">
        <x:v>Recunoaște uneori meritele celorlalți, dar prezintă mai ales propriile realizări și le subliniază mai mult pe acestea.</x:v>
      </x:c>
      <x:c r="H10" s="32" t="s">
        <x:v>56</x:v>
      </x:c>
      <x:c r="I10" s="29" t="s">
        <x:v>57</x:v>
      </x:c>
      <x:c r="J10" s="32" t="s">
        <x:v>19</x:v>
      </x:c>
      <x:c r="K10" s="3"/>
    </x:row>
    <x:row r="11" ht="25.5" customHeight="1">
      <x:c r="A11" s="20" t="s">
        <x:v>58</x:v>
      </x:c>
      <x:c r="B11" s="21" t="s">
        <x:v>59</x:v>
      </x:c>
      <x:c r="C11" s="21" t="s">
        <x:v>60</x:v>
      </x:c>
      <x:c r="D11" s="6" t="s">
        <x:v>61</x:v>
      </x:c>
      <x:c r="E11" s="4">
        <x:v>1</x:v>
      </x:c>
      <x:c r="F11" s="29" t="s">
        <x:v>62</x:v>
      </x:c>
      <x:c r="G11" s="29" t="s">
        <x:v>63</x:v>
      </x:c>
      <x:c r="H11" s="29" t="s">
        <x:v>64</x:v>
      </x:c>
      <x:c r="I11" s="29" t="s">
        <x:v>65</x:v>
      </x:c>
      <x:c r="J11" s="32" t="s">
        <x:v>19</x:v>
      </x:c>
      <x:c r="K11" s="3"/>
    </x:row>
    <x:row r="12" ht="25.5" customHeight="1">
      <x:c r="A12" s="20"/>
      <x:c r="B12" s="20"/>
      <x:c r="C12" s="20"/>
      <x:c r="D12" s="6" t="s">
        <x:v>66</x:v>
      </x:c>
      <x:c r="E12" s="4">
        <x:v>2</x:v>
      </x:c>
      <x:c r="F12" s="29" t="s">
        <x:v>67</x:v>
      </x:c>
      <x:c r="G12" s="29" t="s">
        <x:v>68</x:v>
      </x:c>
      <x:c r="H12" s="29" t="s">
        <x:v>69</x:v>
      </x:c>
      <x:c r="I12" s="29" t="s">
        <x:v>70</x:v>
      </x:c>
      <x:c r="J12" s="32" t="s">
        <x:v>19</x:v>
      </x:c>
      <x:c r="K12" s="3"/>
    </x:row>
    <x:row r="13" ht="39" customHeight="1">
      <x:c r="A13" s="20"/>
      <x:c r="B13" s="20"/>
      <x:c r="C13" s="20"/>
      <x:c r="D13" s="6" t="s">
        <x:v>71</x:v>
      </x:c>
      <x:c r="E13" s="4">
        <x:v>3</x:v>
      </x:c>
      <x:c r="F13" s="29" t="s">
        <x:v>72</x:v>
      </x:c>
      <x:c r="G13" s="29" t="s">
        <x:v>73</x:v>
      </x:c>
      <x:c r="H13" s="29" t="s">
        <x:v>74</x:v>
      </x:c>
      <x:c r="I13" s="29" t="s">
        <x:v>75</x:v>
      </x:c>
      <x:c r="J13" s="32" t="s">
        <x:v>19</x:v>
      </x:c>
      <x:c r="K13" s="3"/>
    </x:row>
    <x:row r="14" ht="25.5" customHeight="1">
      <x:c r="A14" s="20"/>
      <x:c r="B14" s="21" t="s">
        <x:v>76</x:v>
      </x:c>
      <x:c r="C14" s="21" t="s">
        <x:v>77</x:v>
      </x:c>
      <x:c r="D14" s="6" t="s">
        <x:v>78</x:v>
      </x:c>
      <x:c r="E14" s="4">
        <x:v>1</x:v>
      </x:c>
      <x:c r="F14" s="29" t="s">
        <x:v>79</x:v>
      </x:c>
      <x:c r="G14" s="29" t="str">
        <x:v>Ascultă uneori până la capăt, dar nu verifică dacă a înțeles corect.</x:v>
      </x:c>
      <x:c r="H14" s="29" t="s">
        <x:v>80</x:v>
      </x:c>
      <x:c r="I14" s="29" t="s">
        <x:v>81</x:v>
      </x:c>
      <x:c r="J14" s="32" t="s">
        <x:v>19</x:v>
      </x:c>
      <x:c r="K14" s="3"/>
    </x:row>
    <x:row r="15" ht="25.5" customHeight="1">
      <x:c r="A15" s="20"/>
      <x:c r="B15" s="20"/>
      <x:c r="C15" s="20"/>
      <x:c r="D15" s="6" t="s">
        <x:v>82</x:v>
      </x:c>
      <x:c r="E15" s="4">
        <x:v>2</x:v>
      </x:c>
      <x:c r="F15" s="29" t="s">
        <x:v>83</x:v>
      </x:c>
      <x:c r="G15" s="29" t="s">
        <x:v>84</x:v>
      </x:c>
      <x:c r="H15" s="29" t="s">
        <x:v>85</x:v>
      </x:c>
      <x:c r="I15" s="29" t="s">
        <x:v>86</x:v>
      </x:c>
      <x:c r="J15" s="32" t="s">
        <x:v>19</x:v>
      </x:c>
      <x:c r="K15" s="3"/>
    </x:row>
    <x:row r="16" ht="25.5" customHeight="1">
      <x:c r="A16" s="20"/>
      <x:c r="B16" s="20"/>
      <x:c r="C16" s="20"/>
      <x:c r="D16" s="6" t="s">
        <x:v>87</x:v>
      </x:c>
      <x:c r="E16" s="4">
        <x:v>3</x:v>
      </x:c>
      <x:c r="F16" s="29" t="s">
        <x:v>88</x:v>
      </x:c>
      <x:c r="G16" s="29" t="str">
        <x:v>Discută despre probleme doar când este confruntat.</x:v>
      </x:c>
      <x:c r="H16" s="29" t="str">
        <x:v>Vorbește deseori despre problemele reale din perimetrul său și din proprie inițiativă, dar cu ezitare și fără să ofere toate detaliile.</x:v>
      </x:c>
      <x:c r="I16" s="29" t="s">
        <x:v>89</x:v>
      </x:c>
      <x:c r="J16" s="32" t="s">
        <x:v>19</x:v>
      </x:c>
      <x:c r="K16" s="3"/>
    </x:row>
    <x:row r="17" ht="25.5" customHeight="1">
      <x:c r="A17" s="20"/>
      <x:c r="B17" s="21" t="s">
        <x:v>90</x:v>
      </x:c>
      <x:c r="C17" s="21" t="s">
        <x:v>91</x:v>
      </x:c>
      <x:c r="D17" s="6" t="s">
        <x:v>92</x:v>
      </x:c>
      <x:c r="E17" s="4">
        <x:v>1</x:v>
      </x:c>
      <x:c r="F17" s="29" t="s">
        <x:v>93</x:v>
      </x:c>
      <x:c r="G17" s="29" t="s">
        <x:v>94</x:v>
      </x:c>
      <x:c r="H17" s="29" t="s">
        <x:v>95</x:v>
      </x:c>
      <x:c r="I17" s="29" t="s">
        <x:v>96</x:v>
      </x:c>
      <x:c r="J17" s="32" t="s">
        <x:v>19</x:v>
      </x:c>
      <x:c r="K17" s="3"/>
    </x:row>
    <x:row r="18" ht="25.5" customHeight="1">
      <x:c r="A18" s="20"/>
      <x:c r="B18" s="20"/>
      <x:c r="C18" s="20"/>
      <x:c r="D18" s="6" t="s">
        <x:v>97</x:v>
      </x:c>
      <x:c r="E18" s="4">
        <x:v>2</x:v>
      </x:c>
      <x:c r="F18" s="29" t="str">
        <x:v>Nu explică motivele din spatele deciziilor sau evită subiectul. Sau spune: «Asta a fost decizia, așa s-a hotărât.»</x:v>
      </x:c>
      <x:c r="G18" s="29" t="s">
        <x:v>98</x:v>
      </x:c>
      <x:c r="H18" s="29" t="s">
        <x:v>99</x:v>
      </x:c>
      <x:c r="I18" s="29" t="str">
        <x:v>Spune clar ce se știe, ce nu se știe și care sunt pașii următori. Partajează toate informațiile de care dispune și care pot fi relevante pentru ca echipa să înțeleagă deciziile.</x:v>
      </x:c>
      <x:c r="J18" s="32" t="s">
        <x:v>19</x:v>
      </x:c>
      <x:c r="K18" s="3"/>
    </x:row>
    <x:row r="19" ht="39" customHeight="1">
      <x:c r="A19" s="20"/>
      <x:c r="B19" s="20"/>
      <x:c r="C19" s="20"/>
      <x:c r="D19" s="6" t="s">
        <x:v>100</x:v>
      </x:c>
      <x:c r="E19" s="4">
        <x:v>3</x:v>
      </x:c>
      <x:c r="F19" s="29" t="s">
        <x:v>101</x:v>
      </x:c>
      <x:c r="G19" s="29" t="s">
        <x:v>102</x:v>
      </x:c>
      <x:c r="H19" s="29" t="s">
        <x:v>103</x:v>
      </x:c>
      <x:c r="I19" s="29" t="s">
        <x:v>104</x:v>
      </x:c>
      <x:c r="J19" s="32" t="s">
        <x:v>19</x:v>
      </x:c>
      <x:c r="K19" s="3"/>
    </x:row>
    <x:row r="20" ht="25.5" customHeight="1">
      <x:c r="A20" s="20" t="s">
        <x:v>105</x:v>
      </x:c>
      <x:c r="B20" s="18" t="s">
        <x:v>106</x:v>
      </x:c>
      <x:c r="C20" s="18" t="s">
        <x:v>107</x:v>
      </x:c>
      <x:c r="D20" s="6" t="s">
        <x:v>108</x:v>
      </x:c>
      <x:c r="E20" s="4">
        <x:v>1</x:v>
      </x:c>
      <x:c r="F20" s="7" t="s">
        <x:v>109</x:v>
      </x:c>
      <x:c r="G20" s="7" t="s">
        <x:v>110</x:v>
      </x:c>
      <x:c r="H20" s="7" t="s">
        <x:v>111</x:v>
      </x:c>
      <x:c r="I20" s="7" t="s">
        <x:v>112</x:v>
      </x:c>
      <x:c r="J20" s="8" t="s">
        <x:v>19</x:v>
      </x:c>
      <x:c r="K20" s="3"/>
    </x:row>
    <x:row r="21" ht="39" customHeight="1">
      <x:c r="A21" s="20"/>
      <x:c r="B21" s="20"/>
      <x:c r="C21" s="20"/>
      <x:c r="D21" s="6" t="s">
        <x:v>113</x:v>
      </x:c>
      <x:c r="E21" s="4">
        <x:v>2</x:v>
      </x:c>
      <x:c r="F21" s="7" t="str">
        <x:v>Nu admite că nu știe, chiar dacă alții observă asta și îi spun. Nu își schimbă maniera de lucru.</x:v>
      </x:c>
      <x:c r="G21" s="7" t="s">
        <x:v>114</x:v>
      </x:c>
      <x:c r="H21" s="7" t="s">
        <x:v>115</x:v>
      </x:c>
      <x:c r="I21" s="7" t="s">
        <x:v>116</x:v>
      </x:c>
      <x:c r="J21" s="8" t="s">
        <x:v>19</x:v>
      </x:c>
      <x:c r="K21" s="3"/>
    </x:row>
    <x:row r="22" ht="25.5" customHeight="1">
      <x:c r="A22" s="20"/>
      <x:c r="B22" s="18"/>
      <x:c r="C22" s="18"/>
      <x:c r="D22" s="6" t="s">
        <x:v>117</x:v>
      </x:c>
      <x:c r="E22" s="4">
        <x:v>3</x:v>
      </x:c>
      <x:c r="F22" s="7" t="s">
        <x:v>118</x:v>
      </x:c>
      <x:c r="G22" s="7" t="s">
        <x:v>119</x:v>
      </x:c>
      <x:c r="H22" s="7" t="s">
        <x:v>120</x:v>
      </x:c>
      <x:c r="I22" s="7" t="s">
        <x:v>121</x:v>
      </x:c>
      <x:c r="J22" s="8" t="s">
        <x:v>19</x:v>
      </x:c>
      <x:c r="K22" s="3"/>
    </x:row>
    <x:row r="23" ht="25.5" customHeight="1">
      <x:c r="A23" s="20"/>
      <x:c r="B23" s="21" t="s">
        <x:v>122</x:v>
      </x:c>
      <x:c r="C23" s="21" t="s">
        <x:v>123</x:v>
      </x:c>
      <x:c r="D23" s="6" t="s">
        <x:v>124</x:v>
      </x:c>
      <x:c r="E23" s="4">
        <x:v>1</x:v>
      </x:c>
      <x:c r="F23" s="7" t="str">
        <x:v>Emoțiile lui afectează vizibil discuțiile: ridică tonul, are reacții nepotrivite, ia decizii la nervi.</x:v>
      </x:c>
      <x:c r="G23" s="7" t="s">
        <x:v>125</x:v>
      </x:c>
      <x:c r="H23" s="7" t="s">
        <x:v>126</x:v>
      </x:c>
      <x:c r="I23" s="7" t="s">
        <x:v>127</x:v>
      </x:c>
      <x:c r="J23" s="8" t="s">
        <x:v>19</x:v>
      </x:c>
      <x:c r="K23" s="3"/>
    </x:row>
    <x:row r="24" ht="25.5" customHeight="1">
      <x:c r="A24" s="20"/>
      <x:c r="B24" s="20"/>
      <x:c r="C24" s="20"/>
      <x:c r="D24" s="6" t="s">
        <x:v>128</x:v>
      </x:c>
      <x:c r="E24" s="4">
        <x:v>2</x:v>
      </x:c>
      <x:c r="F24" s="7" t="s">
        <x:v>129</x:v>
      </x:c>
      <x:c r="G24" s="7" t="s">
        <x:v>130</x:v>
      </x:c>
      <x:c r="H24" s="7" t="s">
        <x:v>131</x:v>
      </x:c>
      <x:c r="I24" s="7" t="s">
        <x:v>132</x:v>
      </x:c>
      <x:c r="J24" s="8" t="s">
        <x:v>19</x:v>
      </x:c>
      <x:c r="K24" s="3"/>
    </x:row>
    <x:row r="25" ht="39" customHeight="1">
      <x:c r="A25" s="20"/>
      <x:c r="B25" s="20"/>
      <x:c r="C25" s="20"/>
      <x:c r="D25" s="6" t="s">
        <x:v>133</x:v>
      </x:c>
      <x:c r="E25" s="4">
        <x:v>3</x:v>
      </x:c>
      <x:c r="F25" s="7" t="s">
        <x:v>134</x:v>
      </x:c>
      <x:c r="G25" s="7" t="s">
        <x:v>135</x:v>
      </x:c>
      <x:c r="H25" s="7" t="s">
        <x:v>136</x:v>
      </x:c>
      <x:c r="I25" s="7" t="s">
        <x:v>137</x:v>
      </x:c>
      <x:c r="J25" s="8" t="s">
        <x:v>19</x:v>
      </x:c>
      <x:c r="K25" s="3"/>
    </x:row>
    <x:row r="26" ht="39" customHeight="1">
      <x:c r="A26" s="20"/>
      <x:c r="B26" s="21" t="s">
        <x:v>138</x:v>
      </x:c>
      <x:c r="C26" s="21" t="s">
        <x:v>139</x:v>
      </x:c>
      <x:c r="D26" s="6" t="s">
        <x:v>140</x:v>
      </x:c>
      <x:c r="E26" s="4">
        <x:v>1</x:v>
      </x:c>
      <x:c r="F26" s="7" t="s">
        <x:v>141</x:v>
      </x:c>
      <x:c r="G26" s="7" t="s">
        <x:v>142</x:v>
      </x:c>
      <x:c r="H26" s="7" t="s">
        <x:v>143</x:v>
      </x:c>
      <x:c r="I26" s="7" t="s">
        <x:v>144</x:v>
      </x:c>
      <x:c r="J26" s="8" t="s">
        <x:v>19</x:v>
      </x:c>
      <x:c r="K26" s="3"/>
    </x:row>
    <x:row r="27" ht="25.5" customHeight="1">
      <x:c r="A27" s="20"/>
      <x:c r="B27" s="20"/>
      <x:c r="C27" s="20"/>
      <x:c r="D27" s="6" t="s">
        <x:v>145</x:v>
      </x:c>
      <x:c r="E27" s="4">
        <x:v>2</x:v>
      </x:c>
      <x:c r="F27" s="7" t="s">
        <x:v>146</x:v>
      </x:c>
      <x:c r="G27" s="7" t="s">
        <x:v>147</x:v>
      </x:c>
      <x:c r="H27" s="7" t="s">
        <x:v>148</x:v>
      </x:c>
      <x:c r="I27" s="7" t="s">
        <x:v>149</x:v>
      </x:c>
      <x:c r="J27" s="8" t="s">
        <x:v>19</x:v>
      </x:c>
      <x:c r="K27" s="3"/>
    </x:row>
    <x:row r="28" ht="39" customHeight="1">
      <x:c r="A28" s="20"/>
      <x:c r="B28" s="20"/>
      <x:c r="C28" s="20"/>
      <x:c r="D28" s="6" t="s">
        <x:v>150</x:v>
      </x:c>
      <x:c r="E28" s="4">
        <x:v>3</x:v>
      </x:c>
      <x:c r="F28" s="27" t="s">
        <x:v>151</x:v>
      </x:c>
      <x:c r="G28" s="27" t="s">
        <x:v>152</x:v>
      </x:c>
      <x:c r="H28" s="7" t="s">
        <x:v>153</x:v>
      </x:c>
      <x:c r="I28" s="7" t="s">
        <x:v>154</x:v>
      </x:c>
      <x:c r="J28" s="8" t="s">
        <x:v>19</x:v>
      </x:c>
      <x:c r="K28" s="3"/>
    </x:row>
    <x:row r="29" ht="39" customHeight="1">
      <x:c r="A29" s="17" t="s">
        <x:v>155</x:v>
      </x:c>
      <x:c r="B29" s="18" t="s">
        <x:v>156</x:v>
      </x:c>
      <x:c r="C29" s="18" t="s">
        <x:v>157</x:v>
      </x:c>
      <x:c r="D29" s="6" t="s">
        <x:v>158</x:v>
      </x:c>
      <x:c r="E29" s="4">
        <x:v>1</x:v>
      </x:c>
      <x:c r="F29" s="7" t="s">
        <x:v>159</x:v>
      </x:c>
      <x:c r="G29" s="7" t="s">
        <x:v>160</x:v>
      </x:c>
      <x:c r="H29" s="7" t="str">
        <x:v>Acceptă și propune idei noi, dar cu reținere și fără să le susțină până la capăt.</x:v>
      </x:c>
      <x:c r="I29" s="7" t="s">
        <x:v>161</x:v>
      </x:c>
      <x:c r="J29" s="8" t="s">
        <x:v>19</x:v>
      </x:c>
      <x:c r="K29" s="3"/>
    </x:row>
    <x:row r="30" ht="25.5" customHeight="1">
      <x:c r="A30" s="17"/>
      <x:c r="B30" s="17"/>
      <x:c r="C30" s="17"/>
      <x:c r="D30" s="6" t="s">
        <x:v>162</x:v>
      </x:c>
      <x:c r="E30" s="4">
        <x:v>2</x:v>
      </x:c>
      <x:c r="F30" s="7" t="s">
        <x:v>163</x:v>
      </x:c>
      <x:c r="G30" s="7" t="s">
        <x:v>164</x:v>
      </x:c>
      <x:c r="H30" s="7" t="s">
        <x:v>165</x:v>
      </x:c>
      <x:c r="I30" s="7" t="s">
        <x:v>166</x:v>
      </x:c>
      <x:c r="J30" s="8" t="s">
        <x:v>19</x:v>
      </x:c>
      <x:c r="K30" s="3"/>
    </x:row>
    <x:row r="31" ht="39" customHeight="1">
      <x:c r="A31" s="17"/>
      <x:c r="B31" s="18"/>
      <x:c r="C31" s="18"/>
      <x:c r="D31" s="6" t="s">
        <x:v>167</x:v>
      </x:c>
      <x:c r="E31" s="4">
        <x:v>3</x:v>
      </x:c>
      <x:c r="F31" s="7" t="s">
        <x:v>168</x:v>
      </x:c>
      <x:c r="G31" s="7" t="s">
        <x:v>169</x:v>
      </x:c>
      <x:c r="H31" s="7" t="s">
        <x:v>170</x:v>
      </x:c>
      <x:c r="I31" s="7" t="s">
        <x:v>171</x:v>
      </x:c>
      <x:c r="J31" s="8" t="s">
        <x:v>19</x:v>
      </x:c>
      <x:c r="K31" s="3"/>
    </x:row>
    <x:row r="32" ht="25.5" customHeight="1">
      <x:c r="A32" s="17"/>
      <x:c r="B32" s="18" t="s">
        <x:v>172</x:v>
      </x:c>
      <x:c r="C32" s="18" t="s">
        <x:v>173</x:v>
      </x:c>
      <x:c r="D32" s="6" t="s">
        <x:v>174</x:v>
      </x:c>
      <x:c r="E32" s="4">
        <x:v>1</x:v>
      </x:c>
      <x:c r="F32" s="7" t="s">
        <x:v>175</x:v>
      </x:c>
      <x:c r="G32" s="7" t="s">
        <x:v>176</x:v>
      </x:c>
      <x:c r="H32" s="7" t="s">
        <x:v>177</x:v>
      </x:c>
      <x:c r="I32" s="7" t="s">
        <x:v>178</x:v>
      </x:c>
      <x:c r="J32" s="8" t="s">
        <x:v>19</x:v>
      </x:c>
      <x:c r="K32" s="3"/>
    </x:row>
    <x:row r="33" ht="39" customHeight="1">
      <x:c r="A33" s="17"/>
      <x:c r="B33" s="17"/>
      <x:c r="C33" s="17"/>
      <x:c r="D33" s="6" t="s">
        <x:v>179</x:v>
      </x:c>
      <x:c r="E33" s="4">
        <x:v>2</x:v>
      </x:c>
      <x:c r="F33" s="7" t="s">
        <x:v>180</x:v>
      </x:c>
      <x:c r="G33" s="7" t="s">
        <x:v>181</x:v>
      </x:c>
      <x:c r="H33" s="7" t="s">
        <x:v>182</x:v>
      </x:c>
      <x:c r="I33" s="7" t="s">
        <x:v>183</x:v>
      </x:c>
      <x:c r="J33" s="8" t="s">
        <x:v>19</x:v>
      </x:c>
      <x:c r="K33" s="3"/>
    </x:row>
    <x:row r="34" ht="25.5" customHeight="1">
      <x:c r="A34" s="17"/>
      <x:c r="B34" s="18"/>
      <x:c r="C34" s="18"/>
      <x:c r="D34" s="6" t="s">
        <x:v>184</x:v>
      </x:c>
      <x:c r="E34" s="4">
        <x:v>3</x:v>
      </x:c>
      <x:c r="F34" s="7" t="s">
        <x:v>185</x:v>
      </x:c>
      <x:c r="G34" s="7" t="s">
        <x:v>186</x:v>
      </x:c>
      <x:c r="H34" s="7" t="s">
        <x:v>187</x:v>
      </x:c>
      <x:c r="I34" s="7" t="s">
        <x:v>188</x:v>
      </x:c>
      <x:c r="J34" s="8" t="s">
        <x:v>19</x:v>
      </x:c>
      <x:c r="K34" s="3"/>
    </x:row>
    <x:row r="35" ht="39" customHeight="1">
      <x:c r="A35" s="17"/>
      <x:c r="B35" s="19" t="s">
        <x:v>189</x:v>
      </x:c>
      <x:c r="C35" s="19" t="s">
        <x:v>190</x:v>
      </x:c>
      <x:c r="D35" s="6" t="s">
        <x:v>191</x:v>
      </x:c>
      <x:c r="E35" s="4">
        <x:v>1</x:v>
      </x:c>
      <x:c r="F35" s="7" t="s">
        <x:v>192</x:v>
      </x:c>
      <x:c r="G35" s="7" t="s">
        <x:v>193</x:v>
      </x:c>
      <x:c r="H35" s="7" t="s">
        <x:v>194</x:v>
      </x:c>
      <x:c r="I35" s="7" t="s">
        <x:v>195</x:v>
      </x:c>
      <x:c r="J35" s="8" t="s">
        <x:v>19</x:v>
      </x:c>
      <x:c r="K35" s="3"/>
    </x:row>
    <x:row r="36" ht="39" customHeight="1">
      <x:c r="A36" s="17"/>
      <x:c r="B36" s="17"/>
      <x:c r="C36" s="17"/>
      <x:c r="D36" s="6" t="s">
        <x:v>196</x:v>
      </x:c>
      <x:c r="E36" s="4">
        <x:v>2</x:v>
      </x:c>
      <x:c r="F36" s="7" t="s">
        <x:v>197</x:v>
      </x:c>
      <x:c r="G36" s="7" t="s">
        <x:v>198</x:v>
      </x:c>
      <x:c r="H36" s="7" t="s">
        <x:v>199</x:v>
      </x:c>
      <x:c r="I36" s="7" t="s">
        <x:v>200</x:v>
      </x:c>
      <x:c r="J36" s="8" t="s">
        <x:v>19</x:v>
      </x:c>
      <x:c r="K36" s="3"/>
    </x:row>
    <x:row r="37" ht="39" customHeight="1">
      <x:c r="A37" s="17"/>
      <x:c r="B37" s="17"/>
      <x:c r="C37" s="17"/>
      <x:c r="D37" s="6" t="s">
        <x:v>201</x:v>
      </x:c>
      <x:c r="E37" s="4">
        <x:v>3</x:v>
      </x:c>
      <x:c r="F37" s="7" t="s">
        <x:v>202</x:v>
      </x:c>
      <x:c r="G37" s="7" t="s">
        <x:v>203</x:v>
      </x:c>
      <x:c r="H37" s="7" t="s">
        <x:v>204</x:v>
      </x:c>
      <x:c r="I37" s="7" t="s">
        <x:v>205</x:v>
      </x:c>
      <x:c r="J37" s="8" t="s">
        <x:v>19</x:v>
      </x:c>
      <x:c r="K37" s="3"/>
    </x:row>
    <x:row r="38" ht="25.5" customHeight="1">
      <x:c r="A38" s="17" t="s">
        <x:v>206</x:v>
      </x:c>
      <x:c r="B38" s="18" t="s">
        <x:v>207</x:v>
      </x:c>
      <x:c r="C38" s="18" t="s">
        <x:v>208</x:v>
      </x:c>
      <x:c r="D38" s="6" t="s">
        <x:v>209</x:v>
      </x:c>
      <x:c r="E38" s="4">
        <x:v>1</x:v>
      </x:c>
      <x:c r="F38" s="7" t="str">
        <x:v>Când apar probleme, cere foarte des ca ultimul cuvânt să fie al lui, ca să se asigure că a luat deciziile corecte, chiar dacă soluțiile ar trebui să vină de la echipa sa.</x:v>
      </x:c>
      <x:c r="G38" s="7" t="str">
        <x:v>Își lasă echipa să ia decizii, dar face asta rar și se asigură că oamenii simt riscul de a lua o decizie greșită.</x:v>
      </x:c>
      <x:c r="H38" s="7" t="str">
        <x:v>De multe ori refuză să ia decizii care ar trebui să fie luate la un nivel inferior și preferă să ceară lămuriri.</x:v>
      </x:c>
      <x:c r="I38" s="7" t="str">
        <x:v>Încurajează constant respectarea lanțului decizional, iar când are o altă viziune, o explică cu calm, stimulează consultările și sprijină autoritatea subalternilor săi în fața sa și a altor echipe.</x:v>
      </x:c>
      <x:c r="J38" s="8" t="s">
        <x:v>19</x:v>
      </x:c>
      <x:c r="K38" s="3"/>
    </x:row>
    <x:row r="39" ht="25.5" customHeight="1">
      <x:c r="A39" s="17"/>
      <x:c r="B39" s="17"/>
      <x:c r="C39" s="17"/>
      <x:c r="D39" s="6" t="s">
        <x:v>210</x:v>
      </x:c>
      <x:c r="E39" s="4">
        <x:v>2</x:v>
      </x:c>
      <x:c r="F39" s="7" t="s">
        <x:v>211</x:v>
      </x:c>
      <x:c r="G39" s="7" t="s">
        <x:v>212</x:v>
      </x:c>
      <x:c r="H39" s="7" t="s">
        <x:v>213</x:v>
      </x:c>
      <x:c r="I39" s="7" t="s">
        <x:v>214</x:v>
      </x:c>
      <x:c r="J39" s="8" t="s">
        <x:v>19</x:v>
      </x:c>
      <x:c r="K39" s="3"/>
    </x:row>
    <x:row r="40" ht="39" customHeight="1">
      <x:c r="A40" s="17"/>
      <x:c r="B40" s="18"/>
      <x:c r="C40" s="18"/>
      <x:c r="D40" s="6" t="str">
        <x:v>Informează echipa în mod clar și raportează transparent rezultatele</x:v>
      </x:c>
      <x:c r="E40" s="4">
        <x:v>3</x:v>
      </x:c>
      <x:c r="F40" s="7" t="str">
        <x:v>Informarea echipei este vagă sau lipsește; rezultatele nu sunt raportate.</x:v>
      </x:c>
      <x:c r="G40" s="7" t="s">
        <x:v>215</x:v>
      </x:c>
      <x:c r="H40" s="7" t="s">
        <x:v>216</x:v>
      </x:c>
      <x:c r="I40" s="7" t="str">
        <x:v>Comunică clar și din proprie inițiativă, inclusiv aspecte mai puțin plăcute.</x:v>
      </x:c>
      <x:c r="J40" s="8" t="s">
        <x:v>19</x:v>
      </x:c>
      <x:c r="K40" s="3"/>
    </x:row>
    <x:row r="41" ht="39" customHeight="1">
      <x:c r="A41" s="17"/>
      <x:c r="B41" s="19" t="s">
        <x:v>217</x:v>
      </x:c>
      <x:c r="C41" s="19" t="s">
        <x:v>218</x:v>
      </x:c>
      <x:c r="D41" s="6" t="s">
        <x:v>219</x:v>
      </x:c>
      <x:c r="E41" s="4">
        <x:v>1</x:v>
      </x:c>
      <x:c r="F41" s="7" t="s">
        <x:v>220</x:v>
      </x:c>
      <x:c r="G41" s="7" t="s">
        <x:v>221</x:v>
      </x:c>
      <x:c r="H41" s="7" t="s">
        <x:v>222</x:v>
      </x:c>
      <x:c r="I41" s="7" t="s">
        <x:v>223</x:v>
      </x:c>
      <x:c r="J41" s="8" t="s">
        <x:v>19</x:v>
      </x:c>
      <x:c r="K41" s="3"/>
    </x:row>
    <x:row r="42" ht="25.5" customHeight="1">
      <x:c r="A42" s="17"/>
      <x:c r="B42" s="17"/>
      <x:c r="C42" s="17"/>
      <x:c r="D42" s="6" t="s">
        <x:v>224</x:v>
      </x:c>
      <x:c r="E42" s="4">
        <x:v>2</x:v>
      </x:c>
      <x:c r="F42" s="7" t="s">
        <x:v>225</x:v>
      </x:c>
      <x:c r="G42" s="7" t="s">
        <x:v>226</x:v>
      </x:c>
      <x:c r="H42" s="7" t="s">
        <x:v>227</x:v>
      </x:c>
      <x:c r="I42" s="7" t="s">
        <x:v>228</x:v>
      </x:c>
      <x:c r="J42" s="8" t="s">
        <x:v>19</x:v>
      </x:c>
      <x:c r="K42" s="3"/>
    </x:row>
    <x:row r="43" ht="39" customHeight="1">
      <x:c r="A43" s="17"/>
      <x:c r="B43" s="19"/>
      <x:c r="C43" s="19"/>
      <x:c r="D43" s="26" t="s">
        <x:v>229</x:v>
      </x:c>
      <x:c r="E43" s="4">
        <x:v>3</x:v>
      </x:c>
      <x:c r="F43" s="7" t="s">
        <x:v>230</x:v>
      </x:c>
      <x:c r="G43" s="7" t="s">
        <x:v>231</x:v>
      </x:c>
      <x:c r="H43" s="7" t="s">
        <x:v>232</x:v>
      </x:c>
      <x:c r="I43" s="7" t="s">
        <x:v>233</x:v>
      </x:c>
      <x:c r="J43" s="8" t="s">
        <x:v>19</x:v>
      </x:c>
      <x:c r="K43" s="3"/>
    </x:row>
    <x:row r="44" ht="39" customHeight="1">
      <x:c r="A44" s="17"/>
      <x:c r="B44" s="18" t="s">
        <x:v>234</x:v>
      </x:c>
      <x:c r="C44" s="18" t="s">
        <x:v>235</x:v>
      </x:c>
      <x:c r="D44" s="6" t="s">
        <x:v>236</x:v>
      </x:c>
      <x:c r="E44" s="4">
        <x:v>1</x:v>
      </x:c>
      <x:c r="F44" s="7" t="s">
        <x:v>237</x:v>
      </x:c>
      <x:c r="G44" s="7" t="str">
        <x:v>Nici nu ridică moralul echipei, nici nu îl scade.</x:v>
      </x:c>
      <x:c r="H44" s="7" t="s">
        <x:v>238</x:v>
      </x:c>
      <x:c r="I44" s="7" t="s">
        <x:v>239</x:v>
      </x:c>
      <x:c r="J44" s="8" t="s">
        <x:v>19</x:v>
      </x:c>
      <x:c r="K44" s="3"/>
    </x:row>
    <x:row r="45" ht="25.5" customHeight="1">
      <x:c r="A45" s="17"/>
      <x:c r="B45" s="17"/>
      <x:c r="C45" s="17"/>
      <x:c r="D45" s="6" t="s">
        <x:v>240</x:v>
      </x:c>
      <x:c r="E45" s="4">
        <x:v>2</x:v>
      </x:c>
      <x:c r="F45" s="7" t="s">
        <x:v>241</x:v>
      </x:c>
      <x:c r="G45" s="7" t="s">
        <x:v>242</x:v>
      </x:c>
      <x:c r="H45" s="7" t="s">
        <x:v>243</x:v>
      </x:c>
      <x:c r="I45" s="7" t="s">
        <x:v>244</x:v>
      </x:c>
      <x:c r="J45" s="8" t="s">
        <x:v>19</x:v>
      </x:c>
      <x:c r="K45" s="3"/>
    </x:row>
    <x:row r="46" ht="39" customHeight="1">
      <x:c r="A46" s="17"/>
      <x:c r="B46" s="17"/>
      <x:c r="C46" s="17"/>
      <x:c r="D46" s="6" t="s">
        <x:v>245</x:v>
      </x:c>
      <x:c r="E46" s="4">
        <x:v>3</x:v>
      </x:c>
      <x:c r="F46" s="7" t="s">
        <x:v>246</x:v>
      </x:c>
      <x:c r="G46" s="7" t="s">
        <x:v>247</x:v>
      </x:c>
      <x:c r="H46" s="7" t="s">
        <x:v>248</x:v>
      </x:c>
      <x:c r="I46" s="7" t="s">
        <x:v>249</x:v>
      </x:c>
      <x:c r="J46" s="8" t="s">
        <x:v>19</x:v>
      </x:c>
      <x:c r="K46" s="3"/>
    </x:row>
    <x:row r="47" ht="39" customHeight="1"/>
    <x:row r="48" ht="39" customHeight="1">
      <x:c r="D48" s="34"/>
      <x:c r="E48" s="4"/>
      <x:c r="F48" s="7"/>
      <x:c r="G48" s="7"/>
      <x:c r="H48" s="7"/>
      <x:c r="I48" s="7"/>
      <x:c r="J48" s="8"/>
    </x:row>
    <x:row r="49" ht="39" customHeight="1"/>
  </x:sheetData>
  <x:mergeCells>
    <x:mergeCell ref="A2:A10"/>
    <x:mergeCell ref="B2:B4"/>
    <x:mergeCell ref="C2:C4"/>
    <x:mergeCell ref="B5:B7"/>
    <x:mergeCell ref="C5:C7"/>
    <x:mergeCell ref="B8:B10"/>
    <x:mergeCell ref="C8:C10"/>
    <x:mergeCell ref="A11:A19"/>
    <x:mergeCell ref="B11:B13"/>
    <x:mergeCell ref="C11:C13"/>
    <x:mergeCell ref="B14:B16"/>
    <x:mergeCell ref="C14:C16"/>
    <x:mergeCell ref="B17:B19"/>
    <x:mergeCell ref="C17:C19"/>
    <x:mergeCell ref="A20:A28"/>
    <x:mergeCell ref="B20:B22"/>
    <x:mergeCell ref="C20:C22"/>
    <x:mergeCell ref="B23:B25"/>
    <x:mergeCell ref="C23:C25"/>
    <x:mergeCell ref="B26:B28"/>
    <x:mergeCell ref="C26:C28"/>
    <x:mergeCell ref="A29:A37"/>
    <x:mergeCell ref="B29:B31"/>
    <x:mergeCell ref="C29:C31"/>
    <x:mergeCell ref="B32:B34"/>
    <x:mergeCell ref="C32:C34"/>
    <x:mergeCell ref="B35:B37"/>
    <x:mergeCell ref="C35:C37"/>
    <x:mergeCell ref="A38:A46"/>
    <x:mergeCell ref="B38:B40"/>
    <x:mergeCell ref="C38:C40"/>
    <x:mergeCell ref="B41:B43"/>
    <x:mergeCell ref="C41:C43"/>
    <x:mergeCell ref="B44:B46"/>
    <x:mergeCell ref="C44:C46"/>
  </x:mergeCells>
  <x:dataValidations count="1">
    <x:dataValidation type="list" allowBlank="1" errorTitle="Valoare invalidă" error="Introduceți 1, 2, 3, 4 sau N/A" promptTitle="Răspuns" prompt="Alegeți 1, 2, 3, 4 sau N/A" sqref="K2:K46">
      <x:formula1>"1,2,3,4,N/A"</x:formula1>
      <x:formula2>0</x:formula2>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6640625" defaultRowHeight="15"/>
  <x:cols>
    <x:col min="1" max="1" width="16" customWidth="1"/>
    <x:col min="2" max="2" width="34" customWidth="1"/>
    <x:col min="3" max="3" width="12" customWidth="1"/>
    <x:col min="4" max="4" width="10" customWidth="1"/>
    <x:col min="5" max="5" width="12" customWidth="1"/>
    <x:col min="6" max="6" width="10" customWidth="1"/>
  </x:cols>
  <x:sheetData>
    <x:row r="1" ht="30" customHeight="1">
      <x:c r="A1" s="9" t="s">
        <x:v>0</x:v>
      </x:c>
      <x:c r="B1" s="9" t="s">
        <x:v>1</x:v>
      </x:c>
      <x:c r="C1" s="9" t="s">
        <x:v>250</x:v>
      </x:c>
      <x:c r="D1" s="9" t="s">
        <x:v>251</x:v>
      </x:c>
      <x:c r="E1" s="9" t="s">
        <x:v>252</x:v>
      </x:c>
      <x:c r="F1" s="9" t="s">
        <x:v>253</x:v>
      </x:c>
    </x:row>
    <x:row r="2" ht="15" customHeight="1">
      <x:c r="A2" s="22" t="s">
        <x:v>254</x:v>
      </x:c>
      <x:c r="B2" s="10" t="s">
        <x:v>12</x:v>
      </x:c>
      <x:c r="C2" s="2" t="str">
        <x:f>IFERROR(AVERAGE(Chestionar!K2:K4),"N/A")</x:f>
        <x:v>N/A</x:v>
      </x:c>
      <x:c r="D2" s="1" t="str">
        <x:f t="shared" ref="D2:D16" si="0">IF(C2="N/A","N/A",C2/4)</x:f>
        <x:v>N/A</x:v>
      </x:c>
      <x:c r="E2" s="23" t="str">
        <x:f>IFERROR(AVERAGE(C2:C4),"N/A")</x:f>
        <x:v>N/A</x:v>
      </x:c>
      <x:c r="F2" s="24" t="str">
        <x:f>IF(E2="N/A","N/A",E2/4)</x:f>
        <x:v>N/A</x:v>
      </x:c>
    </x:row>
    <x:row r="3" ht="15" customHeight="1">
      <x:c r="A3" s="22"/>
      <x:c r="B3" s="10" t="s">
        <x:v>28</x:v>
      </x:c>
      <x:c r="C3" s="2" t="str">
        <x:f>IFERROR(AVERAGE(Chestionar!K5:K7),"N/A")</x:f>
        <x:v>N/A</x:v>
      </x:c>
      <x:c r="D3" s="1" t="str">
        <x:f t="shared" si="0"/>
        <x:v>N/A</x:v>
      </x:c>
      <x:c r="E3" s="23"/>
      <x:c r="F3" s="23"/>
    </x:row>
    <x:row r="4" ht="21.75" customHeight="1">
      <x:c r="A4" s="22"/>
      <x:c r="B4" s="10" t="s">
        <x:v>44</x:v>
      </x:c>
      <x:c r="C4" s="2" t="str">
        <x:f>IFERROR(AVERAGE(Chestionar!K8:K10),"N/A")</x:f>
        <x:v>N/A</x:v>
      </x:c>
      <x:c r="D4" s="1" t="str">
        <x:f t="shared" si="0"/>
        <x:v>N/A</x:v>
      </x:c>
      <x:c r="E4" s="23"/>
      <x:c r="F4" s="23"/>
    </x:row>
    <x:row r="5" ht="15" customHeight="1">
      <x:c r="A5" s="22" t="s">
        <x:v>255</x:v>
      </x:c>
      <x:c r="B5" s="10" t="s">
        <x:v>59</x:v>
      </x:c>
      <x:c r="C5" s="2" t="str">
        <x:f>IFERROR(AVERAGE(Chestionar!K11:K13),"N/A")</x:f>
        <x:v>N/A</x:v>
      </x:c>
      <x:c r="D5" s="1" t="str">
        <x:f t="shared" si="0"/>
        <x:v>N/A</x:v>
      </x:c>
      <x:c r="E5" s="23" t="str">
        <x:f>IFERROR(AVERAGE(C5:C7),"N/A")</x:f>
        <x:v>N/A</x:v>
      </x:c>
      <x:c r="F5" s="24" t="str">
        <x:f>IF(E5="N/A","N/A",E5/4)</x:f>
        <x:v>N/A</x:v>
      </x:c>
    </x:row>
    <x:row r="6" ht="15" customHeight="1">
      <x:c r="A6" s="22"/>
      <x:c r="B6" s="10" t="s">
        <x:v>76</x:v>
      </x:c>
      <x:c r="C6" s="2" t="str">
        <x:f>IFERROR(AVERAGE(Chestionar!K14:K16),"N/A")</x:f>
        <x:v>N/A</x:v>
      </x:c>
      <x:c r="D6" s="1" t="str">
        <x:f t="shared" si="0"/>
        <x:v>N/A</x:v>
      </x:c>
      <x:c r="E6" s="23"/>
      <x:c r="F6" s="23"/>
    </x:row>
    <x:row r="7" ht="15" customHeight="1">
      <x:c r="A7" s="22"/>
      <x:c r="B7" s="10" t="s">
        <x:v>90</x:v>
      </x:c>
      <x:c r="C7" s="2" t="str">
        <x:f>IFERROR(AVERAGE(Chestionar!K17:K19),"N/A")</x:f>
        <x:v>N/A</x:v>
      </x:c>
      <x:c r="D7" s="1" t="str">
        <x:f t="shared" si="0"/>
        <x:v>N/A</x:v>
      </x:c>
      <x:c r="E7" s="23"/>
      <x:c r="F7" s="23"/>
    </x:row>
    <x:row r="8" ht="15" customHeight="1">
      <x:c r="A8" s="22" t="s">
        <x:v>256</x:v>
      </x:c>
      <x:c r="B8" s="10" t="s">
        <x:v>106</x:v>
      </x:c>
      <x:c r="C8" s="2" t="str">
        <x:f>IFERROR(AVERAGE(Chestionar!K20:K22),"N/A")</x:f>
        <x:v>N/A</x:v>
      </x:c>
      <x:c r="D8" s="1" t="str">
        <x:f t="shared" si="0"/>
        <x:v>N/A</x:v>
      </x:c>
      <x:c r="E8" s="23" t="str">
        <x:f>IFERROR(AVERAGE(C8:C10),"N/A")</x:f>
        <x:v>N/A</x:v>
      </x:c>
      <x:c r="F8" s="24" t="str">
        <x:f>IF(E8="N/A","N/A",E8/4)</x:f>
        <x:v>N/A</x:v>
      </x:c>
    </x:row>
    <x:row r="9" ht="15" customHeight="1">
      <x:c r="A9" s="22"/>
      <x:c r="B9" s="10" t="s">
        <x:v>122</x:v>
      </x:c>
      <x:c r="C9" s="2" t="str">
        <x:f>IFERROR(AVERAGE(Chestionar!K23:K25),"N/A")</x:f>
        <x:v>N/A</x:v>
      </x:c>
      <x:c r="D9" s="1" t="str">
        <x:f t="shared" si="0"/>
        <x:v>N/A</x:v>
      </x:c>
      <x:c r="E9" s="23"/>
      <x:c r="F9" s="23"/>
    </x:row>
    <x:row r="10" ht="15" customHeight="1">
      <x:c r="A10" s="22"/>
      <x:c r="B10" s="10" t="s">
        <x:v>138</x:v>
      </x:c>
      <x:c r="C10" s="2" t="str">
        <x:f>IFERROR(AVERAGE(Chestionar!K26:K28),"N/A")</x:f>
        <x:v>N/A</x:v>
      </x:c>
      <x:c r="D10" s="1" t="str">
        <x:f t="shared" si="0"/>
        <x:v>N/A</x:v>
      </x:c>
      <x:c r="E10" s="23"/>
      <x:c r="F10" s="23"/>
    </x:row>
    <x:row r="11" ht="15" customHeight="1">
      <x:c r="A11" s="22" t="s">
        <x:v>257</x:v>
      </x:c>
      <x:c r="B11" s="10" t="s">
        <x:v>156</x:v>
      </x:c>
      <x:c r="C11" s="2" t="str">
        <x:f>IFERROR(AVERAGE(Chestionar!K29:K31),"N/A")</x:f>
        <x:v>N/A</x:v>
      </x:c>
      <x:c r="D11" s="1" t="str">
        <x:f t="shared" si="0"/>
        <x:v>N/A</x:v>
      </x:c>
      <x:c r="E11" s="23" t="str">
        <x:f>IFERROR(AVERAGE(C11:C13),"N/A")</x:f>
        <x:v>N/A</x:v>
      </x:c>
      <x:c r="F11" s="24" t="str">
        <x:f>IF(E11="N/A","N/A",E11/4)</x:f>
        <x:v>N/A</x:v>
      </x:c>
    </x:row>
    <x:row r="12" ht="15" customHeight="1">
      <x:c r="A12" s="22"/>
      <x:c r="B12" s="10" t="s">
        <x:v>172</x:v>
      </x:c>
      <x:c r="C12" s="2" t="str">
        <x:f>IFERROR(AVERAGE(Chestionar!K32:K34),"N/A")</x:f>
        <x:v>N/A</x:v>
      </x:c>
      <x:c r="D12" s="1" t="str">
        <x:f t="shared" si="0"/>
        <x:v>N/A</x:v>
      </x:c>
      <x:c r="E12" s="23"/>
      <x:c r="F12" s="23"/>
    </x:row>
    <x:row r="13" ht="15" customHeight="1">
      <x:c r="A13" s="22"/>
      <x:c r="B13" s="10" t="s">
        <x:v>189</x:v>
      </x:c>
      <x:c r="C13" s="2" t="str">
        <x:f>IFERROR(AVERAGE(Chestionar!K35:K37),"N/A")</x:f>
        <x:v>N/A</x:v>
      </x:c>
      <x:c r="D13" s="1" t="str">
        <x:f t="shared" si="0"/>
        <x:v>N/A</x:v>
      </x:c>
      <x:c r="E13" s="23"/>
      <x:c r="F13" s="23"/>
    </x:row>
    <x:row r="14" ht="15" customHeight="1">
      <x:c r="A14" s="22" t="s">
        <x:v>258</x:v>
      </x:c>
      <x:c r="B14" s="10" t="s">
        <x:v>207</x:v>
      </x:c>
      <x:c r="C14" s="2" t="str">
        <x:f>IFERROR(AVERAGE(Chestionar!K38:K40),"N/A")</x:f>
        <x:v>N/A</x:v>
      </x:c>
      <x:c r="D14" s="1" t="str">
        <x:f t="shared" si="0"/>
        <x:v>N/A</x:v>
      </x:c>
      <x:c r="E14" s="23" t="str">
        <x:f>IFERROR(AVERAGE(C14:C16),"N/A")</x:f>
        <x:v>N/A</x:v>
      </x:c>
      <x:c r="F14" s="24" t="str">
        <x:f>IF(E14="N/A","N/A",E14/4)</x:f>
        <x:v>N/A</x:v>
      </x:c>
    </x:row>
    <x:row r="15" ht="15" customHeight="1">
      <x:c r="A15" s="22"/>
      <x:c r="B15" s="10" t="s">
        <x:v>217</x:v>
      </x:c>
      <x:c r="C15" s="2" t="str">
        <x:f>IFERROR(AVERAGE(Chestionar!K41:K43),"N/A")</x:f>
        <x:v>N/A</x:v>
      </x:c>
      <x:c r="D15" s="1" t="str">
        <x:f t="shared" si="0"/>
        <x:v>N/A</x:v>
      </x:c>
      <x:c r="E15" s="23"/>
      <x:c r="F15" s="23"/>
    </x:row>
    <x:row r="16" ht="15" customHeight="1">
      <x:c r="A16" s="22"/>
      <x:c r="B16" s="10" t="s">
        <x:v>234</x:v>
      </x:c>
      <x:c r="C16" s="2" t="str">
        <x:f>IFERROR(AVERAGE(Chestionar!K44:K46),"N/A")</x:f>
        <x:v>N/A</x:v>
      </x:c>
      <x:c r="D16" s="1" t="str">
        <x:f t="shared" si="0"/>
        <x:v>N/A</x:v>
      </x:c>
      <x:c r="E16" s="23"/>
      <x:c r="F16" s="23"/>
    </x:row>
    <x:row r="18" ht="15" customHeight="1">
      <x:c r="A18" s="11" t="s">
        <x:v>259</x:v>
      </x:c>
    </x:row>
  </x:sheetData>
  <x:mergeCells>
    <x:mergeCell ref="A2:A4"/>
    <x:mergeCell ref="E2:E4"/>
    <x:mergeCell ref="F2:F4"/>
    <x:mergeCell ref="A5:A7"/>
    <x:mergeCell ref="E5:E7"/>
    <x:mergeCell ref="F5:F7"/>
    <x:mergeCell ref="A14:A16"/>
    <x:mergeCell ref="E14:E16"/>
    <x:mergeCell ref="F14:F16"/>
    <x:mergeCell ref="A8:A10"/>
    <x:mergeCell ref="E8:E10"/>
    <x:mergeCell ref="F8:F10"/>
    <x:mergeCell ref="A11:A13"/>
    <x:mergeCell ref="E11:E13"/>
    <x:mergeCell ref="F11:F13"/>
  </x:mergeCells>
  <x:pageMargins left="0.7" right="0.7" top="0.75" bottom="0.75" header="0.3" footer="0.3"/>
</x:worksheet>
</file>

<file path=xl/worksheets/sheet3.xml><?xml version="1.0" encoding="utf-8"?>
<x:worksheet xmlns:x="http://schemas.openxmlformats.org/spreadsheetml/2006/main">
  <x:sheetFormatPr baseColWidth="10" defaultColWidth="8.6640625" defaultRowHeight="15"/>
  <x:cols>
    <x:col min="1" max="1" width="14" customWidth="1"/>
    <x:col min="2" max="2" width="32" customWidth="1"/>
    <x:col min="3" max="10" width="10" customWidth="1"/>
    <x:col min="11" max="14" width="11" customWidth="1"/>
  </x:cols>
  <x:sheetData>
    <x:row r="1" ht="15" customHeight="1">
      <x:c r="A1" s="12" t="s">
        <x:v>260</x:v>
      </x:c>
    </x:row>
    <x:row r="2" ht="27.75" customHeight="1">
      <x:c r="A2" s="25" t="s">
        <x:v>261</x:v>
      </x:c>
      <x:c r="B2" s="25"/>
      <x:c r="C2" s="25"/>
      <x:c r="D2" s="25"/>
      <x:c r="E2" s="25"/>
      <x:c r="F2" s="25"/>
      <x:c r="G2" s="25"/>
      <x:c r="H2" s="25"/>
      <x:c r="I2" s="25"/>
      <x:c r="J2" s="25"/>
      <x:c r="K2" s="25"/>
      <x:c r="L2" s="25"/>
      <x:c r="M2" s="25"/>
      <x:c r="N2" s="25"/>
    </x:row>
    <x:row r="4" ht="30" customHeight="1">
      <x:c r="A4" s="9" t="s">
        <x:v>0</x:v>
      </x:c>
      <x:c r="B4" s="9" t="s">
        <x:v>1</x:v>
      </x:c>
      <x:c r="C4" s="9" t="s">
        <x:v>262</x:v>
      </x:c>
      <x:c r="D4" s="9" t="s">
        <x:v>263</x:v>
      </x:c>
      <x:c r="E4" s="9" t="s">
        <x:v>264</x:v>
      </x:c>
      <x:c r="F4" s="9" t="s">
        <x:v>265</x:v>
      </x:c>
      <x:c r="G4" s="9" t="s">
        <x:v>266</x:v>
      </x:c>
      <x:c r="H4" s="9" t="s">
        <x:v>267</x:v>
      </x:c>
      <x:c r="I4" s="9" t="s">
        <x:v>268</x:v>
      </x:c>
      <x:c r="J4" s="9" t="s">
        <x:v>269</x:v>
      </x:c>
      <x:c r="K4" s="9" t="s">
        <x:v>270</x:v>
      </x:c>
      <x:c r="L4" s="9" t="s">
        <x:v>271</x:v>
      </x:c>
      <x:c r="M4" s="9" t="s">
        <x:v>252</x:v>
      </x:c>
      <x:c r="N4" s="9" t="s">
        <x:v>253</x:v>
      </x:c>
    </x:row>
    <x:row r="5" ht="15" customHeight="1">
      <x:c r="A5" s="22" t="s">
        <x:v>254</x:v>
      </x:c>
      <x:c r="B5" s="10" t="s">
        <x:v>12</x:v>
      </x:c>
      <x:c r="C5" s="2"/>
      <x:c r="D5" s="2"/>
      <x:c r="E5" s="2"/>
      <x:c r="F5" s="2"/>
      <x:c r="G5" s="2"/>
      <x:c r="H5" s="2"/>
      <x:c r="I5" s="2"/>
      <x:c r="J5" s="2"/>
      <x:c r="K5" s="2" t="str">
        <x:f t="shared" ref="K5:K19" si="0">IFERROR(AVERAGE(C5:J5),"—")</x:f>
        <x:v>—</x:v>
      </x:c>
      <x:c r="L5" s="1" t="str">
        <x:f t="shared" ref="L5:L19" si="1">IF(K5="—","—",K5/4)</x:f>
        <x:v>—</x:v>
      </x:c>
      <x:c r="M5" s="23" t="str">
        <x:f>IFERROR(AVERAGE(K5:K7),"—")</x:f>
        <x:v>—</x:v>
      </x:c>
      <x:c r="N5" s="24" t="str">
        <x:f>IF(M5="—","—",M5/4)</x:f>
        <x:v>—</x:v>
      </x:c>
    </x:row>
    <x:row r="6" ht="15" customHeight="1">
      <x:c r="A6" s="22"/>
      <x:c r="B6" s="10" t="s">
        <x:v>28</x:v>
      </x:c>
      <x:c r="C6" s="2"/>
      <x:c r="D6" s="2"/>
      <x:c r="E6" s="2"/>
      <x:c r="F6" s="2"/>
      <x:c r="G6" s="2"/>
      <x:c r="H6" s="2"/>
      <x:c r="I6" s="2"/>
      <x:c r="J6" s="2"/>
      <x:c r="K6" s="2" t="str">
        <x:f t="shared" si="0"/>
        <x:v>—</x:v>
      </x:c>
      <x:c r="L6" s="1" t="str">
        <x:f t="shared" si="1"/>
        <x:v>—</x:v>
      </x:c>
      <x:c r="M6" s="23"/>
      <x:c r="N6" s="23"/>
    </x:row>
    <x:row r="7" ht="21.75" customHeight="1">
      <x:c r="A7" s="22"/>
      <x:c r="B7" s="10" t="s">
        <x:v>44</x:v>
      </x:c>
      <x:c r="C7" s="2"/>
      <x:c r="D7" s="2"/>
      <x:c r="E7" s="2"/>
      <x:c r="F7" s="2"/>
      <x:c r="G7" s="2"/>
      <x:c r="H7" s="2"/>
      <x:c r="I7" s="2"/>
      <x:c r="J7" s="2"/>
      <x:c r="K7" s="2" t="str">
        <x:f t="shared" si="0"/>
        <x:v>—</x:v>
      </x:c>
      <x:c r="L7" s="1" t="str">
        <x:f t="shared" si="1"/>
        <x:v>—</x:v>
      </x:c>
      <x:c r="M7" s="23"/>
      <x:c r="N7" s="23"/>
    </x:row>
    <x:row r="8" ht="15" customHeight="1">
      <x:c r="A8" s="22" t="s">
        <x:v>255</x:v>
      </x:c>
      <x:c r="B8" s="10" t="s">
        <x:v>59</x:v>
      </x:c>
      <x:c r="C8" s="2"/>
      <x:c r="D8" s="2"/>
      <x:c r="E8" s="2"/>
      <x:c r="F8" s="2"/>
      <x:c r="G8" s="2"/>
      <x:c r="H8" s="2"/>
      <x:c r="I8" s="2"/>
      <x:c r="J8" s="2"/>
      <x:c r="K8" s="2" t="str">
        <x:f t="shared" si="0"/>
        <x:v>—</x:v>
      </x:c>
      <x:c r="L8" s="1" t="str">
        <x:f t="shared" si="1"/>
        <x:v>—</x:v>
      </x:c>
      <x:c r="M8" s="23" t="str">
        <x:f>IFERROR(AVERAGE(K8:K10),"—")</x:f>
        <x:v>—</x:v>
      </x:c>
      <x:c r="N8" s="24" t="str">
        <x:f>IF(M8="—","—",M8/4)</x:f>
        <x:v>—</x:v>
      </x:c>
    </x:row>
    <x:row r="9" ht="15" customHeight="1">
      <x:c r="A9" s="22"/>
      <x:c r="B9" s="10" t="s">
        <x:v>76</x:v>
      </x:c>
      <x:c r="C9" s="2"/>
      <x:c r="D9" s="2"/>
      <x:c r="E9" s="2"/>
      <x:c r="F9" s="2"/>
      <x:c r="G9" s="2"/>
      <x:c r="H9" s="2"/>
      <x:c r="I9" s="2"/>
      <x:c r="J9" s="2"/>
      <x:c r="K9" s="2" t="str">
        <x:f t="shared" si="0"/>
        <x:v>—</x:v>
      </x:c>
      <x:c r="L9" s="1" t="str">
        <x:f t="shared" si="1"/>
        <x:v>—</x:v>
      </x:c>
      <x:c r="M9" s="23"/>
      <x:c r="N9" s="23"/>
    </x:row>
    <x:row r="10" ht="15" customHeight="1">
      <x:c r="A10" s="22"/>
      <x:c r="B10" s="10" t="s">
        <x:v>90</x:v>
      </x:c>
      <x:c r="C10" s="2"/>
      <x:c r="D10" s="2"/>
      <x:c r="E10" s="2"/>
      <x:c r="F10" s="2"/>
      <x:c r="G10" s="2"/>
      <x:c r="H10" s="2"/>
      <x:c r="I10" s="2"/>
      <x:c r="J10" s="2"/>
      <x:c r="K10" s="2" t="str">
        <x:f t="shared" si="0"/>
        <x:v>—</x:v>
      </x:c>
      <x:c r="L10" s="1" t="str">
        <x:f t="shared" si="1"/>
        <x:v>—</x:v>
      </x:c>
      <x:c r="M10" s="23"/>
      <x:c r="N10" s="23"/>
    </x:row>
    <x:row r="11" ht="15" customHeight="1">
      <x:c r="A11" s="22" t="s">
        <x:v>256</x:v>
      </x:c>
      <x:c r="B11" s="10" t="s">
        <x:v>106</x:v>
      </x:c>
      <x:c r="C11" s="2"/>
      <x:c r="D11" s="2"/>
      <x:c r="E11" s="2"/>
      <x:c r="F11" s="2"/>
      <x:c r="G11" s="2"/>
      <x:c r="H11" s="2"/>
      <x:c r="I11" s="2"/>
      <x:c r="J11" s="2"/>
      <x:c r="K11" s="2" t="str">
        <x:f t="shared" si="0"/>
        <x:v>—</x:v>
      </x:c>
      <x:c r="L11" s="1" t="str">
        <x:f t="shared" si="1"/>
        <x:v>—</x:v>
      </x:c>
      <x:c r="M11" s="23" t="str">
        <x:f>IFERROR(AVERAGE(K11:K13),"—")</x:f>
        <x:v>—</x:v>
      </x:c>
      <x:c r="N11" s="24" t="str">
        <x:f>IF(M11="—","—",M11/4)</x:f>
        <x:v>—</x:v>
      </x:c>
    </x:row>
    <x:row r="12" ht="15" customHeight="1">
      <x:c r="A12" s="22"/>
      <x:c r="B12" s="10" t="s">
        <x:v>122</x:v>
      </x:c>
      <x:c r="C12" s="2"/>
      <x:c r="D12" s="2"/>
      <x:c r="E12" s="2"/>
      <x:c r="F12" s="2"/>
      <x:c r="G12" s="2"/>
      <x:c r="H12" s="2"/>
      <x:c r="I12" s="2"/>
      <x:c r="J12" s="2"/>
      <x:c r="K12" s="2" t="str">
        <x:f t="shared" si="0"/>
        <x:v>—</x:v>
      </x:c>
      <x:c r="L12" s="1" t="str">
        <x:f t="shared" si="1"/>
        <x:v>—</x:v>
      </x:c>
      <x:c r="M12" s="23"/>
      <x:c r="N12" s="23"/>
    </x:row>
    <x:row r="13" ht="15" customHeight="1">
      <x:c r="A13" s="22"/>
      <x:c r="B13" s="10" t="s">
        <x:v>138</x:v>
      </x:c>
      <x:c r="C13" s="2"/>
      <x:c r="D13" s="2"/>
      <x:c r="E13" s="2"/>
      <x:c r="F13" s="2"/>
      <x:c r="G13" s="2"/>
      <x:c r="H13" s="2"/>
      <x:c r="I13" s="2"/>
      <x:c r="J13" s="2"/>
      <x:c r="K13" s="2" t="str">
        <x:f t="shared" si="0"/>
        <x:v>—</x:v>
      </x:c>
      <x:c r="L13" s="1" t="str">
        <x:f t="shared" si="1"/>
        <x:v>—</x:v>
      </x:c>
      <x:c r="M13" s="23"/>
      <x:c r="N13" s="23"/>
    </x:row>
    <x:row r="14" ht="15" customHeight="1">
      <x:c r="A14" s="22" t="s">
        <x:v>257</x:v>
      </x:c>
      <x:c r="B14" s="10" t="s">
        <x:v>156</x:v>
      </x:c>
      <x:c r="C14" s="2"/>
      <x:c r="D14" s="2"/>
      <x:c r="E14" s="2"/>
      <x:c r="F14" s="2"/>
      <x:c r="G14" s="2"/>
      <x:c r="H14" s="2"/>
      <x:c r="I14" s="2"/>
      <x:c r="J14" s="2"/>
      <x:c r="K14" s="2" t="str">
        <x:f t="shared" si="0"/>
        <x:v>—</x:v>
      </x:c>
      <x:c r="L14" s="1" t="str">
        <x:f t="shared" si="1"/>
        <x:v>—</x:v>
      </x:c>
      <x:c r="M14" s="23" t="str">
        <x:f>IFERROR(AVERAGE(K14:K16),"—")</x:f>
        <x:v>—</x:v>
      </x:c>
      <x:c r="N14" s="24" t="str">
        <x:f>IF(M14="—","—",M14/4)</x:f>
        <x:v>—</x:v>
      </x:c>
    </x:row>
    <x:row r="15" ht="21.75" customHeight="1">
      <x:c r="A15" s="22"/>
      <x:c r="B15" s="10" t="s">
        <x:v>172</x:v>
      </x:c>
      <x:c r="C15" s="2"/>
      <x:c r="D15" s="2"/>
      <x:c r="E15" s="2"/>
      <x:c r="F15" s="2"/>
      <x:c r="G15" s="2"/>
      <x:c r="H15" s="2"/>
      <x:c r="I15" s="2"/>
      <x:c r="J15" s="2"/>
      <x:c r="K15" s="2" t="str">
        <x:f t="shared" si="0"/>
        <x:v>—</x:v>
      </x:c>
      <x:c r="L15" s="1" t="str">
        <x:f t="shared" si="1"/>
        <x:v>—</x:v>
      </x:c>
      <x:c r="M15" s="23"/>
      <x:c r="N15" s="23"/>
    </x:row>
    <x:row r="16" ht="15" customHeight="1">
      <x:c r="A16" s="22"/>
      <x:c r="B16" s="10" t="s">
        <x:v>189</x:v>
      </x:c>
      <x:c r="C16" s="2"/>
      <x:c r="D16" s="2"/>
      <x:c r="E16" s="2"/>
      <x:c r="F16" s="2"/>
      <x:c r="G16" s="2"/>
      <x:c r="H16" s="2"/>
      <x:c r="I16" s="2"/>
      <x:c r="J16" s="2"/>
      <x:c r="K16" s="2" t="str">
        <x:f t="shared" si="0"/>
        <x:v>—</x:v>
      </x:c>
      <x:c r="L16" s="1" t="str">
        <x:f t="shared" si="1"/>
        <x:v>—</x:v>
      </x:c>
      <x:c r="M16" s="23"/>
      <x:c r="N16" s="23"/>
    </x:row>
    <x:row r="17" ht="15" customHeight="1">
      <x:c r="A17" s="22" t="s">
        <x:v>258</x:v>
      </x:c>
      <x:c r="B17" s="10" t="s">
        <x:v>207</x:v>
      </x:c>
      <x:c r="C17" s="2"/>
      <x:c r="D17" s="2"/>
      <x:c r="E17" s="2"/>
      <x:c r="F17" s="2"/>
      <x:c r="G17" s="2"/>
      <x:c r="H17" s="2"/>
      <x:c r="I17" s="2"/>
      <x:c r="J17" s="2"/>
      <x:c r="K17" s="2" t="str">
        <x:f t="shared" si="0"/>
        <x:v>—</x:v>
      </x:c>
      <x:c r="L17" s="1" t="str">
        <x:f t="shared" si="1"/>
        <x:v>—</x:v>
      </x:c>
      <x:c r="M17" s="23" t="str">
        <x:f>IFERROR(AVERAGE(K17:K19),"—")</x:f>
        <x:v>—</x:v>
      </x:c>
      <x:c r="N17" s="24" t="str">
        <x:f>IF(M17="—","—",M17/4)</x:f>
        <x:v>—</x:v>
      </x:c>
    </x:row>
    <x:row r="18" ht="15" customHeight="1">
      <x:c r="A18" s="22"/>
      <x:c r="B18" s="10" t="s">
        <x:v>217</x:v>
      </x:c>
      <x:c r="C18" s="2"/>
      <x:c r="D18" s="2"/>
      <x:c r="E18" s="2"/>
      <x:c r="F18" s="2"/>
      <x:c r="G18" s="2"/>
      <x:c r="H18" s="2"/>
      <x:c r="I18" s="2"/>
      <x:c r="J18" s="2"/>
      <x:c r="K18" s="2" t="str">
        <x:f t="shared" si="0"/>
        <x:v>—</x:v>
      </x:c>
      <x:c r="L18" s="1" t="str">
        <x:f t="shared" si="1"/>
        <x:v>—</x:v>
      </x:c>
      <x:c r="M18" s="23"/>
      <x:c r="N18" s="23"/>
    </x:row>
    <x:row r="19" ht="15" customHeight="1">
      <x:c r="A19" s="22"/>
      <x:c r="B19" s="10" t="s">
        <x:v>234</x:v>
      </x:c>
      <x:c r="C19" s="2"/>
      <x:c r="D19" s="2"/>
      <x:c r="E19" s="2"/>
      <x:c r="F19" s="2"/>
      <x:c r="G19" s="2"/>
      <x:c r="H19" s="2"/>
      <x:c r="I19" s="2"/>
      <x:c r="J19" s="2"/>
      <x:c r="K19" s="2" t="str">
        <x:f t="shared" si="0"/>
        <x:v>—</x:v>
      </x:c>
      <x:c r="L19" s="1" t="str">
        <x:f t="shared" si="1"/>
        <x:v>—</x:v>
      </x:c>
      <x:c r="M19" s="23"/>
      <x:c r="N19" s="23"/>
    </x:row>
  </x:sheetData>
  <x:mergeCells>
    <x:mergeCell ref="A2:N2"/>
    <x:mergeCell ref="A5:A7"/>
    <x:mergeCell ref="M5:M7"/>
    <x:mergeCell ref="N5:N7"/>
    <x:mergeCell ref="A8:A10"/>
    <x:mergeCell ref="M8:M10"/>
    <x:mergeCell ref="N8:N10"/>
    <x:mergeCell ref="A17:A19"/>
    <x:mergeCell ref="M17:M19"/>
    <x:mergeCell ref="N17:N19"/>
    <x:mergeCell ref="A11:A13"/>
    <x:mergeCell ref="M11:M13"/>
    <x:mergeCell ref="N11:N13"/>
    <x:mergeCell ref="A14:A16"/>
    <x:mergeCell ref="M14:M16"/>
    <x:mergeCell ref="N14:N16"/>
  </x:mergeCells>
  <x:pageMargins left="0.7" right="0.7" top="0.75" bottom="0.75" header="0.3" footer="0.3"/>
</x:worksheet>
</file>

<file path=xl/worksheets/sheet4.xml><?xml version="1.0" encoding="utf-8"?>
<x:worksheet xmlns:x="http://schemas.openxmlformats.org/spreadsheetml/2006/main">
  <x:sheetFormatPr baseColWidth="10" defaultColWidth="8.6640625" defaultRowHeight="15"/>
  <x:cols>
    <x:col min="1" max="1" width="110" customWidth="1"/>
  </x:cols>
  <x:sheetData>
    <x:row r="1" ht="17.25" customHeight="1">
      <x:c r="A1" s="13" t="s">
        <x:v>272</x:v>
      </x:c>
    </x:row>
    <x:row r="2" ht="15" customHeight="1">
      <x:c r="A2" s="14"/>
    </x:row>
    <x:row r="3" ht="15" customHeight="1">
      <x:c r="A3" s="15" t="s">
        <x:v>273</x:v>
      </x:c>
    </x:row>
    <x:row r="4" ht="27.75" customHeight="1">
      <x:c r="A4" s="14" t="s">
        <x:v>274</x:v>
      </x:c>
    </x:row>
    <x:row r="5" ht="27.75" customHeight="1">
      <x:c r="A5" s="14" t="s">
        <x:v>275</x:v>
      </x:c>
    </x:row>
    <x:row r="6" ht="15" customHeight="1">
      <x:c r="A6" s="14"/>
    </x:row>
    <x:row r="7" ht="15" customHeight="1">
      <x:c r="A7" s="15" t="s">
        <x:v>276</x:v>
      </x:c>
    </x:row>
    <x:row r="8" ht="27.75" customHeight="1">
      <x:c r="A8" s="14" t="s">
        <x:v>277</x:v>
      </x:c>
    </x:row>
    <x:row r="9" ht="27.75" customHeight="1">
      <x:c r="A9" s="14" t="s">
        <x:v>278</x:v>
      </x:c>
    </x:row>
    <x:row r="10" ht="15" customHeight="1">
      <x:c r="A10" s="14"/>
    </x:row>
    <x:row r="11" ht="15" customHeight="1">
      <x:c r="A11" s="15" t="s">
        <x:v>279</x:v>
      </x:c>
    </x:row>
    <x:row r="12" ht="27.75" customHeight="1">
      <x:c r="A12" s="14" t="s">
        <x:v>280</x:v>
      </x:c>
    </x:row>
    <x:row r="13" ht="27.75" customHeight="1">
      <x:c r="A13" s="14" t="s">
        <x:v>281</x:v>
      </x:c>
    </x:row>
    <x:row r="14" ht="27.75" customHeight="1">
      <x:c r="A14" s="14" t="s">
        <x:v>282</x:v>
      </x:c>
    </x:row>
    <x:row r="15" ht="15" customHeight="1">
      <x:c r="A15" s="14"/>
    </x:row>
    <x:row r="16" ht="15" customHeight="1">
      <x:c r="A16" s="15" t="s">
        <x:v>283</x:v>
      </x:c>
    </x:row>
    <x:row r="17" ht="27.75" customHeight="1">
      <x:c r="A17" s="14" t="s">
        <x:v>284</x:v>
      </x:c>
    </x:row>
    <x:row r="18" ht="15" customHeight="1">
      <x:c r="A18" s="14"/>
    </x:row>
    <x:row r="19" ht="15" customHeight="1">
      <x:c r="A19" s="15" t="s">
        <x:v>285</x:v>
      </x:c>
    </x:row>
    <x:row r="20" ht="27.75" customHeight="1">
      <x:c r="A20" s="14" t="s">
        <x:v>286</x:v>
      </x:c>
    </x:row>
    <x:row r="21" ht="27.75" customHeight="1">
      <x:c r="A21" s="14" t="s">
        <x:v>287</x:v>
      </x:c>
    </x:row>
    <x:row r="22" ht="27.75" customHeight="1">
      <x:c r="A22" s="14" t="s">
        <x:v>288</x:v>
      </x:c>
    </x:row>
    <x:row r="23" ht="15" customHeight="1">
      <x:c r="A23" s="14"/>
    </x:row>
    <x:row r="24" ht="15" customHeight="1">
      <x:c r="A24" s="15" t="s">
        <x:v>289</x:v>
      </x:c>
    </x:row>
    <x:row r="25" ht="27.75" customHeight="1">
      <x:c r="A25" s="14" t="s">
        <x:v>290</x:v>
      </x:c>
    </x:row>
    <x:row r="26" ht="27.75" customHeight="1">
      <x:c r="A26" s="14" t="s">
        <x:v>291</x:v>
      </x:c>
    </x:row>
    <x:row r="27" ht="27.75" customHeight="1">
      <x:c r="A27" s="14" t="s">
        <x:v>292</x:v>
      </x:c>
    </x:row>
    <x:row r="28" ht="27.75" customHeight="1">
      <x:c r="A28" s="14" t="s">
        <x:v>293</x:v>
      </x:c>
    </x:row>
    <x:row r="29" ht="15" customHeight="1">
      <x:c r="A29" s="14"/>
    </x:row>
    <x:row r="30" ht="27.75" customHeight="1">
      <x:c r="A30" s="14" t="s">
        <x:v>294</x:v>
      </x:c>
    </x:row>
  </x:sheetData>
  <x:pageMargins left="0.7" right="0.7" top="0.75" bottom="0.75" header="0.3" footer="0.3"/>
</x:worksheet>
</file>